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51\Departamentos\Programação Gabriel - Rodoviário\Acompanhamento Fabricação\2026\"/>
    </mc:Choice>
  </mc:AlternateContent>
  <xr:revisionPtr revIDLastSave="0" documentId="13_ncr:1_{5DC4E94C-2D77-41DD-8A44-4E66A5884EFD}" xr6:coauthVersionLast="47" xr6:coauthVersionMax="47" xr10:uidLastSave="{00000000-0000-0000-0000-000000000000}"/>
  <bookViews>
    <workbookView xWindow="-120" yWindow="-120" windowWidth="29040" windowHeight="15720" xr2:uid="{EA1F3CBE-A0D3-44E2-B535-830A03D31C21}"/>
  </bookViews>
  <sheets>
    <sheet name="DADOS" sheetId="1" r:id="rId1"/>
    <sheet name="Apo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0" i="1" l="1"/>
  <c r="J288" i="1"/>
  <c r="J262" i="1"/>
  <c r="J260" i="1"/>
  <c r="J220" i="1"/>
  <c r="J218" i="1"/>
  <c r="J150" i="1"/>
  <c r="J148" i="1"/>
  <c r="J94" i="1"/>
  <c r="J92" i="1"/>
  <c r="J52" i="1"/>
  <c r="J50" i="1"/>
  <c r="J10" i="1"/>
  <c r="J8" i="1"/>
  <c r="J374" i="1"/>
  <c r="J360" i="1"/>
  <c r="J248" i="1"/>
  <c r="J80" i="1"/>
  <c r="J38" i="1"/>
  <c r="H57" i="1"/>
  <c r="D59" i="1"/>
  <c r="F59" i="1"/>
  <c r="F60" i="1" s="1"/>
  <c r="G60" i="1" s="1"/>
  <c r="F61" i="1"/>
  <c r="G61" i="1" s="1"/>
  <c r="F62" i="1"/>
  <c r="G62" i="1" s="1"/>
  <c r="F63" i="1"/>
  <c r="G63" i="1" s="1"/>
  <c r="F64" i="1"/>
  <c r="G64" i="1"/>
  <c r="F65" i="1"/>
  <c r="G65" i="1" s="1"/>
  <c r="F66" i="1"/>
  <c r="G66" i="1"/>
  <c r="F67" i="1"/>
  <c r="G67" i="1" s="1"/>
  <c r="F68" i="1"/>
  <c r="G68" i="1" s="1"/>
  <c r="F69" i="1"/>
  <c r="G69" i="1" s="1"/>
  <c r="F70" i="1"/>
  <c r="G70" i="1" s="1"/>
  <c r="H71" i="1"/>
  <c r="D73" i="1"/>
  <c r="F73" i="1"/>
  <c r="F83" i="1"/>
  <c r="G83" i="1"/>
  <c r="F84" i="1"/>
  <c r="G84" i="1" s="1"/>
  <c r="H85" i="1"/>
  <c r="D87" i="1"/>
  <c r="F87" i="1"/>
  <c r="F93" i="1" s="1"/>
  <c r="G93" i="1" s="1"/>
  <c r="H99" i="1"/>
  <c r="D101" i="1"/>
  <c r="F101" i="1"/>
  <c r="F105" i="1" s="1"/>
  <c r="G105" i="1" s="1"/>
  <c r="F103" i="1"/>
  <c r="G103" i="1" s="1"/>
  <c r="F104" i="1"/>
  <c r="G104" i="1" s="1"/>
  <c r="H113" i="1"/>
  <c r="D115" i="1"/>
  <c r="F115" i="1"/>
  <c r="F117" i="1" s="1"/>
  <c r="G117" i="1" s="1"/>
  <c r="F116" i="1"/>
  <c r="G116" i="1" s="1"/>
  <c r="F122" i="1"/>
  <c r="G122" i="1" s="1"/>
  <c r="F123" i="1"/>
  <c r="G123" i="1" s="1"/>
  <c r="F124" i="1"/>
  <c r="G124" i="1" s="1"/>
  <c r="F125" i="1"/>
  <c r="G125" i="1" s="1"/>
  <c r="F126" i="1"/>
  <c r="G126" i="1" s="1"/>
  <c r="H127" i="1"/>
  <c r="D129" i="1"/>
  <c r="F129" i="1"/>
  <c r="F138" i="1" s="1"/>
  <c r="G138" i="1" s="1"/>
  <c r="F131" i="1"/>
  <c r="G131" i="1" s="1"/>
  <c r="F132" i="1"/>
  <c r="G132" i="1" s="1"/>
  <c r="H141" i="1"/>
  <c r="D143" i="1"/>
  <c r="F143" i="1"/>
  <c r="H155" i="1"/>
  <c r="D157" i="1"/>
  <c r="F157" i="1"/>
  <c r="H169" i="1"/>
  <c r="D171" i="1"/>
  <c r="F171" i="1"/>
  <c r="F173" i="1"/>
  <c r="G173" i="1" s="1"/>
  <c r="H183" i="1"/>
  <c r="D185" i="1"/>
  <c r="F185" i="1"/>
  <c r="F189" i="1" s="1"/>
  <c r="G189" i="1" s="1"/>
  <c r="H197" i="1"/>
  <c r="D199" i="1"/>
  <c r="F199" i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H211" i="1"/>
  <c r="D213" i="1"/>
  <c r="F213" i="1"/>
  <c r="F216" i="1" s="1"/>
  <c r="G216" i="1" s="1"/>
  <c r="F214" i="1"/>
  <c r="G214" i="1" s="1"/>
  <c r="F215" i="1"/>
  <c r="G215" i="1" s="1"/>
  <c r="F217" i="1"/>
  <c r="G217" i="1" s="1"/>
  <c r="F218" i="1"/>
  <c r="G218" i="1" s="1"/>
  <c r="F219" i="1"/>
  <c r="G219" i="1" s="1"/>
  <c r="F220" i="1"/>
  <c r="G220" i="1" s="1"/>
  <c r="H225" i="1"/>
  <c r="D227" i="1"/>
  <c r="F227" i="1"/>
  <c r="F228" i="1" s="1"/>
  <c r="G228" i="1" s="1"/>
  <c r="F233" i="1"/>
  <c r="G233" i="1"/>
  <c r="F234" i="1"/>
  <c r="G234" i="1"/>
  <c r="F235" i="1"/>
  <c r="G235" i="1"/>
  <c r="F236" i="1"/>
  <c r="G236" i="1" s="1"/>
  <c r="F237" i="1"/>
  <c r="G237" i="1" s="1"/>
  <c r="F238" i="1"/>
  <c r="G238" i="1"/>
  <c r="H239" i="1"/>
  <c r="D241" i="1"/>
  <c r="F241" i="1"/>
  <c r="F242" i="1" s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/>
  <c r="F252" i="1"/>
  <c r="G252" i="1"/>
  <c r="H253" i="1"/>
  <c r="D255" i="1"/>
  <c r="F255" i="1"/>
  <c r="F265" i="1" s="1"/>
  <c r="G265" i="1" s="1"/>
  <c r="F258" i="1"/>
  <c r="G258" i="1" s="1"/>
  <c r="F259" i="1"/>
  <c r="G259" i="1" s="1"/>
  <c r="H267" i="1"/>
  <c r="D269" i="1"/>
  <c r="F269" i="1"/>
  <c r="F270" i="1" s="1"/>
  <c r="G270" i="1" s="1"/>
  <c r="F271" i="1"/>
  <c r="G271" i="1" s="1"/>
  <c r="F274" i="1"/>
  <c r="G274" i="1" s="1"/>
  <c r="F275" i="1"/>
  <c r="G275" i="1"/>
  <c r="F276" i="1"/>
  <c r="G276" i="1" s="1"/>
  <c r="F277" i="1"/>
  <c r="G277" i="1" s="1"/>
  <c r="F278" i="1"/>
  <c r="G278" i="1" s="1"/>
  <c r="F279" i="1"/>
  <c r="G279" i="1" s="1"/>
  <c r="F280" i="1"/>
  <c r="G280" i="1" s="1"/>
  <c r="H281" i="1"/>
  <c r="D283" i="1"/>
  <c r="F283" i="1"/>
  <c r="H295" i="1"/>
  <c r="D297" i="1"/>
  <c r="F297" i="1"/>
  <c r="G298" i="1" s="1"/>
  <c r="H309" i="1"/>
  <c r="D311" i="1"/>
  <c r="F311" i="1"/>
  <c r="F316" i="1" s="1"/>
  <c r="G316" i="1" s="1"/>
  <c r="H323" i="1"/>
  <c r="D325" i="1"/>
  <c r="F325" i="1"/>
  <c r="H337" i="1"/>
  <c r="D339" i="1"/>
  <c r="F339" i="1"/>
  <c r="F341" i="1" s="1"/>
  <c r="G341" i="1" s="1"/>
  <c r="F350" i="1"/>
  <c r="G350" i="1"/>
  <c r="H351" i="1"/>
  <c r="D353" i="1"/>
  <c r="F353" i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H365" i="1"/>
  <c r="D367" i="1"/>
  <c r="F367" i="1"/>
  <c r="F368" i="1" s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/>
  <c r="G347" i="1" l="1"/>
  <c r="F230" i="1"/>
  <c r="G230" i="1" s="1"/>
  <c r="F345" i="1"/>
  <c r="G345" i="1" s="1"/>
  <c r="F266" i="1"/>
  <c r="G266" i="1" s="1"/>
  <c r="F224" i="1"/>
  <c r="G224" i="1" s="1"/>
  <c r="F263" i="1"/>
  <c r="G263" i="1" s="1"/>
  <c r="G203" i="1"/>
  <c r="G346" i="1"/>
  <c r="F264" i="1"/>
  <c r="G264" i="1" s="1"/>
  <c r="F262" i="1"/>
  <c r="G262" i="1" s="1"/>
  <c r="F223" i="1"/>
  <c r="G223" i="1" s="1"/>
  <c r="F135" i="1"/>
  <c r="G135" i="1" s="1"/>
  <c r="F137" i="1"/>
  <c r="G137" i="1" s="1"/>
  <c r="F136" i="1"/>
  <c r="G136" i="1" s="1"/>
  <c r="F222" i="1"/>
  <c r="G222" i="1" s="1"/>
  <c r="F202" i="1"/>
  <c r="G202" i="1" s="1"/>
  <c r="F134" i="1"/>
  <c r="G134" i="1" s="1"/>
  <c r="G349" i="1"/>
  <c r="F221" i="1"/>
  <c r="G221" i="1" s="1"/>
  <c r="F133" i="1"/>
  <c r="G133" i="1" s="1"/>
  <c r="F92" i="1"/>
  <c r="G92" i="1" s="1"/>
  <c r="F313" i="1"/>
  <c r="G313" i="1" s="1"/>
  <c r="F320" i="1"/>
  <c r="G320" i="1" s="1"/>
  <c r="F312" i="1"/>
  <c r="G312" i="1" s="1"/>
  <c r="F319" i="1"/>
  <c r="G319" i="1" s="1"/>
  <c r="G299" i="1"/>
  <c r="F273" i="1"/>
  <c r="G273" i="1" s="1"/>
  <c r="F272" i="1"/>
  <c r="G272" i="1" s="1"/>
  <c r="F257" i="1"/>
  <c r="G257" i="1" s="1"/>
  <c r="F256" i="1"/>
  <c r="G256" i="1" s="1"/>
  <c r="F232" i="1"/>
  <c r="G232" i="1" s="1"/>
  <c r="F231" i="1"/>
  <c r="G231" i="1" s="1"/>
  <c r="F229" i="1"/>
  <c r="G229" i="1" s="1"/>
  <c r="F150" i="1"/>
  <c r="G150" i="1" s="1"/>
  <c r="F130" i="1"/>
  <c r="G130" i="1" s="1"/>
  <c r="F140" i="1"/>
  <c r="G140" i="1" s="1"/>
  <c r="F139" i="1"/>
  <c r="G139" i="1" s="1"/>
  <c r="F121" i="1"/>
  <c r="G121" i="1" s="1"/>
  <c r="F120" i="1"/>
  <c r="G120" i="1" s="1"/>
  <c r="F119" i="1"/>
  <c r="G119" i="1" s="1"/>
  <c r="F118" i="1"/>
  <c r="G118" i="1" s="1"/>
  <c r="F111" i="1"/>
  <c r="G111" i="1" s="1"/>
  <c r="F110" i="1"/>
  <c r="G110" i="1" s="1"/>
  <c r="F109" i="1"/>
  <c r="G109" i="1" s="1"/>
  <c r="F108" i="1"/>
  <c r="G108" i="1" s="1"/>
  <c r="F107" i="1"/>
  <c r="G107" i="1" s="1"/>
  <c r="F102" i="1"/>
  <c r="G102" i="1" s="1"/>
  <c r="F112" i="1"/>
  <c r="G112" i="1" s="1"/>
  <c r="F106" i="1"/>
  <c r="G106" i="1" s="1"/>
  <c r="F90" i="1"/>
  <c r="G90" i="1" s="1"/>
  <c r="F89" i="1"/>
  <c r="G89" i="1" s="1"/>
  <c r="F88" i="1"/>
  <c r="G88" i="1" s="1"/>
  <c r="F97" i="1"/>
  <c r="G97" i="1" s="1"/>
  <c r="F98" i="1"/>
  <c r="G98" i="1" s="1"/>
  <c r="F96" i="1"/>
  <c r="G96" i="1" s="1"/>
  <c r="F91" i="1"/>
  <c r="G91" i="1" s="1"/>
  <c r="F95" i="1"/>
  <c r="G95" i="1" s="1"/>
  <c r="F94" i="1"/>
  <c r="G94" i="1" s="1"/>
  <c r="J34" i="1"/>
  <c r="J36" i="1"/>
  <c r="J48" i="1"/>
  <c r="J76" i="1"/>
  <c r="J78" i="1"/>
  <c r="J82" i="1" s="1"/>
  <c r="J90" i="1"/>
  <c r="J96" i="1"/>
  <c r="J146" i="1"/>
  <c r="J152" i="1"/>
  <c r="J216" i="1"/>
  <c r="J222" i="1"/>
  <c r="J244" i="1"/>
  <c r="J246" i="1"/>
  <c r="J258" i="1"/>
  <c r="J264" i="1"/>
  <c r="J286" i="1"/>
  <c r="J356" i="1"/>
  <c r="J358" i="1"/>
  <c r="J362" i="1" s="1"/>
  <c r="J370" i="1"/>
  <c r="J372" i="1"/>
  <c r="N8" i="1"/>
  <c r="J6" i="1"/>
  <c r="F56" i="1"/>
  <c r="G56" i="1" s="1"/>
  <c r="F55" i="1"/>
  <c r="G55" i="1" s="1"/>
  <c r="F54" i="1"/>
  <c r="G54" i="1" s="1"/>
  <c r="F52" i="1"/>
  <c r="G52" i="1" s="1"/>
  <c r="F51" i="1"/>
  <c r="G51" i="1" s="1"/>
  <c r="F50" i="1"/>
  <c r="G50" i="1" s="1"/>
  <c r="F49" i="1"/>
  <c r="G49" i="1" s="1"/>
  <c r="F48" i="1"/>
  <c r="G48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45" i="1"/>
  <c r="F46" i="1" s="1"/>
  <c r="G46" i="1" s="1"/>
  <c r="D45" i="1"/>
  <c r="H43" i="1"/>
  <c r="F31" i="1"/>
  <c r="D31" i="1"/>
  <c r="H29" i="1"/>
  <c r="F17" i="1"/>
  <c r="F28" i="1" s="1"/>
  <c r="G28" i="1" s="1"/>
  <c r="D17" i="1"/>
  <c r="H15" i="1"/>
  <c r="F3" i="1"/>
  <c r="F12" i="1" s="1"/>
  <c r="G12" i="1" s="1"/>
  <c r="D3" i="1"/>
  <c r="H1" i="1"/>
  <c r="F14" i="1" l="1"/>
  <c r="G14" i="1" s="1"/>
  <c r="N10" i="1"/>
  <c r="N12" i="1" s="1"/>
  <c r="J40" i="1"/>
  <c r="F6" i="1"/>
  <c r="G6" i="1" s="1"/>
  <c r="F4" i="1"/>
  <c r="G4" i="1" s="1"/>
  <c r="F5" i="1"/>
  <c r="G5" i="1" s="1"/>
  <c r="F9" i="1"/>
  <c r="G9" i="1" s="1"/>
  <c r="F7" i="1"/>
  <c r="G7" i="1" s="1"/>
  <c r="F8" i="1"/>
  <c r="G8" i="1" s="1"/>
  <c r="F10" i="1"/>
  <c r="G10" i="1" s="1"/>
  <c r="F11" i="1"/>
  <c r="G11" i="1" s="1"/>
  <c r="F47" i="1"/>
  <c r="G47" i="1" s="1"/>
  <c r="J54" i="1"/>
  <c r="F19" i="1"/>
  <c r="G19" i="1" s="1"/>
  <c r="F20" i="1"/>
  <c r="G20" i="1" s="1"/>
  <c r="F18" i="1"/>
  <c r="G18" i="1" s="1"/>
  <c r="F26" i="1"/>
  <c r="G26" i="1" s="1"/>
  <c r="F21" i="1"/>
  <c r="G21" i="1" s="1"/>
  <c r="F22" i="1"/>
  <c r="G22" i="1" s="1"/>
  <c r="F23" i="1"/>
  <c r="G23" i="1" s="1"/>
  <c r="F24" i="1"/>
  <c r="G24" i="1" s="1"/>
  <c r="F25" i="1"/>
  <c r="G25" i="1" s="1"/>
  <c r="F27" i="1"/>
  <c r="G27" i="1" s="1"/>
  <c r="J376" i="1"/>
  <c r="J292" i="1"/>
  <c r="J250" i="1"/>
  <c r="J12" i="1"/>
</calcChain>
</file>

<file path=xl/sharedStrings.xml><?xml version="1.0" encoding="utf-8"?>
<sst xmlns="http://schemas.openxmlformats.org/spreadsheetml/2006/main" count="912" uniqueCount="107">
  <si>
    <t>OP</t>
  </si>
  <si>
    <t>QTD</t>
  </si>
  <si>
    <t>CÓDIGO</t>
  </si>
  <si>
    <t>DOBRA</t>
  </si>
  <si>
    <t>STATUS DE FABRICAÇÃO</t>
  </si>
  <si>
    <t>DATA</t>
  </si>
  <si>
    <t>CONF. ENTREGA</t>
  </si>
  <si>
    <t>GEKA</t>
  </si>
  <si>
    <t>GUILHOTINA</t>
  </si>
  <si>
    <t>USINAGEM</t>
  </si>
  <si>
    <t>SERRA</t>
  </si>
  <si>
    <t>TOTAL DE ORDENS DE PRODUÇÃO</t>
  </si>
  <si>
    <t>TOTAL DE ORDENS FINALIZADAS</t>
  </si>
  <si>
    <t>ESTÁGIO ATUAL</t>
  </si>
  <si>
    <t>GEKA/DOBRA</t>
  </si>
  <si>
    <t>GUILHOTINA/DOBRA</t>
  </si>
  <si>
    <t>SERRA/USINAGEM</t>
  </si>
  <si>
    <t xml:space="preserve">SERRA </t>
  </si>
  <si>
    <t>SERRA/DOBRA</t>
  </si>
  <si>
    <t xml:space="preserve">PEÇA           </t>
  </si>
  <si>
    <t>GERAL</t>
  </si>
  <si>
    <t>TOTAL DE OPS</t>
  </si>
  <si>
    <t>OPS FINALIZADAS</t>
  </si>
  <si>
    <t>PORCENTAGEM</t>
  </si>
  <si>
    <t>GEKA/USINAGEM</t>
  </si>
  <si>
    <t>LASER 40KW</t>
  </si>
  <si>
    <t>LASER 6KW/DOBRA</t>
  </si>
  <si>
    <t>LASER 40KW/USINAGEM</t>
  </si>
  <si>
    <t>LASER 6KW</t>
  </si>
  <si>
    <t>LASER 40KW/DOBRA</t>
  </si>
  <si>
    <t>LISTA 01 - STB</t>
  </si>
  <si>
    <t>30500463-1</t>
  </si>
  <si>
    <t>30500468-1</t>
  </si>
  <si>
    <t>30500510-1</t>
  </si>
  <si>
    <t>30500518-3</t>
  </si>
  <si>
    <t>30500551-1</t>
  </si>
  <si>
    <t>30502300-1</t>
  </si>
  <si>
    <t>30500436-1</t>
  </si>
  <si>
    <t>30500458-2</t>
  </si>
  <si>
    <t>30500467-1</t>
  </si>
  <si>
    <t>30500450-1</t>
  </si>
  <si>
    <t>30500464-1</t>
  </si>
  <si>
    <t>30500469-1</t>
  </si>
  <si>
    <t>30500477-1</t>
  </si>
  <si>
    <t>30500478-1</t>
  </si>
  <si>
    <t>30500485-1</t>
  </si>
  <si>
    <t>30500485-2</t>
  </si>
  <si>
    <t>30500494-2</t>
  </si>
  <si>
    <t>30500509-1</t>
  </si>
  <si>
    <t>30500518-2</t>
  </si>
  <si>
    <t>30500538-1</t>
  </si>
  <si>
    <t>30502193-12</t>
  </si>
  <si>
    <t>30502329-1</t>
  </si>
  <si>
    <t>30509077-1</t>
  </si>
  <si>
    <t>30500135-1</t>
  </si>
  <si>
    <t>30500445-2</t>
  </si>
  <si>
    <t>30500477-A</t>
  </si>
  <si>
    <t>30500477-B</t>
  </si>
  <si>
    <t>30500478-A</t>
  </si>
  <si>
    <t>30500478-B</t>
  </si>
  <si>
    <t>30500479-1</t>
  </si>
  <si>
    <t>30500480-1</t>
  </si>
  <si>
    <t>30500482-1</t>
  </si>
  <si>
    <t>30500482-2</t>
  </si>
  <si>
    <t>30500484-1</t>
  </si>
  <si>
    <t>30500486-1</t>
  </si>
  <si>
    <t>30500489-1</t>
  </si>
  <si>
    <t>30500494-1</t>
  </si>
  <si>
    <t>30500506-1</t>
  </si>
  <si>
    <t>30500506-3</t>
  </si>
  <si>
    <t>30500508-1</t>
  </si>
  <si>
    <t>30500517-1</t>
  </si>
  <si>
    <t>30501141-1</t>
  </si>
  <si>
    <t>30502302-1</t>
  </si>
  <si>
    <t>30502396-2</t>
  </si>
  <si>
    <t>30500441-1</t>
  </si>
  <si>
    <t>30500471-1</t>
  </si>
  <si>
    <t>30500472-1</t>
  </si>
  <si>
    <t>30500474-1</t>
  </si>
  <si>
    <t>30500518-1</t>
  </si>
  <si>
    <t>30500545-1</t>
  </si>
  <si>
    <t>30502306-1</t>
  </si>
  <si>
    <t>30502301-1</t>
  </si>
  <si>
    <t>30502325-1</t>
  </si>
  <si>
    <t>30500437-1</t>
  </si>
  <si>
    <t>30500437-2</t>
  </si>
  <si>
    <t>30500458-1</t>
  </si>
  <si>
    <t>30500473-1</t>
  </si>
  <si>
    <t>30500492-1</t>
  </si>
  <si>
    <t>30500496-1</t>
  </si>
  <si>
    <t>30500503-1</t>
  </si>
  <si>
    <t>30500504-1</t>
  </si>
  <si>
    <t>30502326-1</t>
  </si>
  <si>
    <t>30502327-1</t>
  </si>
  <si>
    <t>30502453-1</t>
  </si>
  <si>
    <t>OK MAICON</t>
  </si>
  <si>
    <t>OK</t>
  </si>
  <si>
    <t>MENOTTI PEDE</t>
  </si>
  <si>
    <t>-</t>
  </si>
  <si>
    <t>OK MATEUS</t>
  </si>
  <si>
    <t>DIRETO</t>
  </si>
  <si>
    <t>OK EDSON</t>
  </si>
  <si>
    <t>MUITAS NO ESTOQUE</t>
  </si>
  <si>
    <t>MARCAO</t>
  </si>
  <si>
    <t>ESTOQUE</t>
  </si>
  <si>
    <t>ANDRE LEVA</t>
  </si>
  <si>
    <t>NIVALDO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</si>
</sst>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/>
    </xf>
    <xf numFmtId="0" fontId="0" fillId="0" borderId="1" xfId="0" applyBorder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164" fontId="0" fillId="0" borderId="6" xfId="0" applyNumberFormat="1" applyBorder="1" applyAlignment="1">
      <alignment horizontal="right"/>
    </xf>
    <xf numFmtId="0" fontId="0" fillId="0" borderId="6" xfId="0" applyBorder="1"/>
    <xf numFmtId="16" fontId="2" fillId="0" borderId="1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E2CE-7E3F-4F07-B381-3332F84ACB15}">
  <dimension ref="A1:N382"/>
  <sheetViews>
    <sheetView tabSelected="1" zoomScale="70" zoomScaleNormal="70" workbookViewId="0">
      <selection activeCell="N246" sqref="N246"/>
    </sheetView>
  </sheetViews>
  <sheetFormatPr defaultRowHeight="15.75" x14ac:dyDescent="0.25"/>
  <cols>
    <col min="1" max="1" width="13.140625" style="17" bestFit="1" customWidth="1"/>
    <col min="2" max="2" width="13.42578125" style="17" customWidth="1"/>
    <col min="3" max="3" width="7.85546875" style="17" customWidth="1"/>
    <col min="4" max="4" width="25.7109375" style="2" customWidth="1"/>
    <col min="5" max="5" width="11.7109375" style="2" customWidth="1"/>
    <col min="6" max="6" width="25.7109375" style="2" customWidth="1"/>
    <col min="7" max="7" width="11.7109375" style="2" customWidth="1"/>
    <col min="8" max="8" width="25.7109375" style="2" customWidth="1"/>
    <col min="9" max="9" width="9.140625" style="10"/>
    <col min="10" max="10" width="22" style="17" customWidth="1"/>
    <col min="11" max="13" width="9.140625" style="10"/>
    <col min="14" max="14" width="35.140625" style="17" customWidth="1"/>
    <col min="15" max="16384" width="9.140625" style="10"/>
  </cols>
  <sheetData>
    <row r="1" spans="1:14" ht="35.1" customHeight="1" x14ac:dyDescent="0.25">
      <c r="A1" s="13">
        <v>46036</v>
      </c>
      <c r="B1" s="33" t="s">
        <v>30</v>
      </c>
      <c r="C1" s="34"/>
      <c r="D1" s="34"/>
      <c r="E1" s="34"/>
      <c r="F1" s="35"/>
      <c r="G1" s="5">
        <v>310</v>
      </c>
      <c r="H1" s="5" t="str">
        <f>VLOOKUP(G1,Apoio!A$1:B26,2,0)</f>
        <v>GEKA</v>
      </c>
    </row>
    <row r="2" spans="1:14" ht="35.1" customHeight="1" x14ac:dyDescent="0.25">
      <c r="A2" s="11"/>
      <c r="B2" s="6" t="s">
        <v>19</v>
      </c>
      <c r="C2" s="12"/>
      <c r="D2" s="30" t="s">
        <v>4</v>
      </c>
      <c r="E2" s="31"/>
      <c r="F2" s="31"/>
      <c r="G2" s="31"/>
      <c r="H2" s="32"/>
      <c r="L2" s="1"/>
    </row>
    <row r="3" spans="1:14" ht="35.1" customHeight="1" x14ac:dyDescent="0.25">
      <c r="A3" s="3" t="s">
        <v>0</v>
      </c>
      <c r="B3" s="3" t="s">
        <v>2</v>
      </c>
      <c r="C3" s="3" t="s">
        <v>1</v>
      </c>
      <c r="D3" s="3" t="str">
        <f>IFERROR(VLOOKUP(G1,Apoio!F$1:G$43,2,0),"")</f>
        <v>GEKA</v>
      </c>
      <c r="E3" s="4" t="s">
        <v>5</v>
      </c>
      <c r="F3" s="3" t="str">
        <f>IFERROR(VLOOKUP(G1,Apoio!H$1:I$44,2,0),"")</f>
        <v/>
      </c>
      <c r="G3" s="4" t="s">
        <v>5</v>
      </c>
      <c r="H3" s="4" t="s">
        <v>6</v>
      </c>
    </row>
    <row r="4" spans="1:14" ht="35.1" customHeight="1" x14ac:dyDescent="0.25">
      <c r="A4" s="14">
        <v>7448266</v>
      </c>
      <c r="B4" s="15">
        <v>30500440</v>
      </c>
      <c r="C4" s="16">
        <v>28</v>
      </c>
      <c r="D4" s="16" t="s">
        <v>95</v>
      </c>
      <c r="E4" s="29">
        <v>46043</v>
      </c>
      <c r="F4" s="16" t="str">
        <f>IF($A4&lt;&gt;"",IF($F3="","DIRETO",""),"")</f>
        <v>DIRETO</v>
      </c>
      <c r="G4" s="16" t="str">
        <f>IF(F4="DIRETO","-","")</f>
        <v>-</v>
      </c>
      <c r="H4" s="16" t="s">
        <v>96</v>
      </c>
    </row>
    <row r="5" spans="1:14" ht="35.1" customHeight="1" x14ac:dyDescent="0.25">
      <c r="A5" s="14">
        <v>7448267</v>
      </c>
      <c r="B5" s="15" t="s">
        <v>31</v>
      </c>
      <c r="C5" s="16">
        <v>14</v>
      </c>
      <c r="D5" s="16" t="s">
        <v>95</v>
      </c>
      <c r="E5" s="29">
        <v>46038</v>
      </c>
      <c r="F5" s="16" t="str">
        <f>IF($A5&lt;&gt;"",IF($F3="","DIRETO",""),"")</f>
        <v>DIRETO</v>
      </c>
      <c r="G5" s="16" t="str">
        <f t="shared" ref="G5:G14" si="0">IF(F5="DIRETO","-","")</f>
        <v>-</v>
      </c>
      <c r="H5" s="16" t="s">
        <v>96</v>
      </c>
    </row>
    <row r="6" spans="1:14" ht="35.1" customHeight="1" x14ac:dyDescent="0.25">
      <c r="A6" s="14">
        <v>7448268</v>
      </c>
      <c r="B6" s="15">
        <v>30500465</v>
      </c>
      <c r="C6" s="16">
        <v>10</v>
      </c>
      <c r="D6" s="16" t="s">
        <v>97</v>
      </c>
      <c r="E6" s="29" t="s">
        <v>98</v>
      </c>
      <c r="F6" s="16" t="str">
        <f>IF($A6&lt;&gt;"",IF($F3="","DIRETO",""),"")</f>
        <v>DIRETO</v>
      </c>
      <c r="G6" s="16" t="str">
        <f t="shared" si="0"/>
        <v>-</v>
      </c>
      <c r="H6" s="16" t="s">
        <v>96</v>
      </c>
      <c r="J6" s="5" t="str">
        <f>VLOOKUP(G1,Apoio!A$1:B26,2,0)</f>
        <v>GEKA</v>
      </c>
      <c r="N6" s="24" t="s">
        <v>20</v>
      </c>
    </row>
    <row r="7" spans="1:14" ht="35.1" customHeight="1" x14ac:dyDescent="0.25">
      <c r="A7" s="14">
        <v>7448269</v>
      </c>
      <c r="B7" s="15" t="s">
        <v>32</v>
      </c>
      <c r="C7" s="16">
        <v>23</v>
      </c>
      <c r="D7" s="16" t="s">
        <v>95</v>
      </c>
      <c r="E7" s="29">
        <v>46043</v>
      </c>
      <c r="F7" s="16" t="str">
        <f>IF($A7&lt;&gt;"",IF($F3="","DIRETO",""),"")</f>
        <v>DIRETO</v>
      </c>
      <c r="G7" s="16" t="str">
        <f t="shared" si="0"/>
        <v>-</v>
      </c>
      <c r="H7" s="16" t="s">
        <v>96</v>
      </c>
      <c r="J7" s="18" t="s">
        <v>21</v>
      </c>
      <c r="N7" s="25" t="s">
        <v>11</v>
      </c>
    </row>
    <row r="8" spans="1:14" ht="35.1" customHeight="1" x14ac:dyDescent="0.25">
      <c r="A8" s="14">
        <v>7448270</v>
      </c>
      <c r="B8" s="16">
        <v>30500501</v>
      </c>
      <c r="C8" s="16">
        <v>14</v>
      </c>
      <c r="D8" s="16" t="s">
        <v>95</v>
      </c>
      <c r="E8" s="29">
        <v>46043</v>
      </c>
      <c r="F8" s="16" t="str">
        <f>IF($A8&lt;&gt;"",IF($F3="","DIRETO",""),"")</f>
        <v>DIRETO</v>
      </c>
      <c r="G8" s="16" t="str">
        <f t="shared" si="0"/>
        <v>-</v>
      </c>
      <c r="H8" s="16" t="s">
        <v>96</v>
      </c>
      <c r="J8" s="19">
        <f>COUNTIF(A4:A18,"&gt;7000000")</f>
        <v>12</v>
      </c>
      <c r="N8" s="19">
        <f>COUNTIF(A:A,"&gt;7000000")</f>
        <v>219</v>
      </c>
    </row>
    <row r="9" spans="1:14" ht="35.1" customHeight="1" x14ac:dyDescent="0.25">
      <c r="A9" s="14">
        <v>7448271</v>
      </c>
      <c r="B9" s="16" t="s">
        <v>33</v>
      </c>
      <c r="C9" s="16">
        <v>14</v>
      </c>
      <c r="D9" s="16" t="s">
        <v>95</v>
      </c>
      <c r="E9" s="29">
        <v>46038</v>
      </c>
      <c r="F9" s="16" t="str">
        <f>IF($A9&lt;&gt;"",IF($F3="","DIRETO",""),"")</f>
        <v>DIRETO</v>
      </c>
      <c r="G9" s="16" t="str">
        <f t="shared" si="0"/>
        <v>-</v>
      </c>
      <c r="H9" s="16" t="s">
        <v>96</v>
      </c>
      <c r="J9" s="20" t="s">
        <v>22</v>
      </c>
      <c r="N9" s="20" t="s">
        <v>12</v>
      </c>
    </row>
    <row r="10" spans="1:14" ht="35.1" customHeight="1" x14ac:dyDescent="0.25">
      <c r="A10" s="14">
        <v>7448272</v>
      </c>
      <c r="B10" s="16" t="s">
        <v>34</v>
      </c>
      <c r="C10" s="16">
        <v>7</v>
      </c>
      <c r="D10" s="16" t="s">
        <v>95</v>
      </c>
      <c r="E10" s="29">
        <v>46038</v>
      </c>
      <c r="F10" s="16" t="str">
        <f>IF($A10&lt;&gt;"",IF($F3="","DIRETO",""),"")</f>
        <v>DIRETO</v>
      </c>
      <c r="G10" s="16" t="str">
        <f t="shared" si="0"/>
        <v>-</v>
      </c>
      <c r="H10" s="16" t="s">
        <v>96</v>
      </c>
      <c r="J10" s="21">
        <f>COUNTIF(H4:H18,"ok*")</f>
        <v>12</v>
      </c>
      <c r="N10" s="21">
        <f>COUNTIF(H:H,"ok*")</f>
        <v>206</v>
      </c>
    </row>
    <row r="11" spans="1:14" ht="35.1" customHeight="1" x14ac:dyDescent="0.25">
      <c r="A11" s="14">
        <v>7448273</v>
      </c>
      <c r="B11" s="16">
        <v>30500544</v>
      </c>
      <c r="C11" s="16">
        <v>7</v>
      </c>
      <c r="D11" s="16" t="s">
        <v>95</v>
      </c>
      <c r="E11" s="29">
        <v>46043</v>
      </c>
      <c r="F11" s="16" t="str">
        <f>IF($A11&lt;&gt;"",IF($F3="","DIRETO",""),"")</f>
        <v>DIRETO</v>
      </c>
      <c r="G11" s="16" t="str">
        <f t="shared" si="0"/>
        <v>-</v>
      </c>
      <c r="H11" s="16" t="s">
        <v>96</v>
      </c>
      <c r="J11" s="22" t="s">
        <v>23</v>
      </c>
      <c r="N11" s="22" t="s">
        <v>13</v>
      </c>
    </row>
    <row r="12" spans="1:14" ht="35.1" customHeight="1" x14ac:dyDescent="0.25">
      <c r="A12" s="14">
        <v>7448274</v>
      </c>
      <c r="B12" s="16" t="s">
        <v>35</v>
      </c>
      <c r="C12" s="16">
        <v>14</v>
      </c>
      <c r="D12" s="16" t="s">
        <v>95</v>
      </c>
      <c r="E12" s="29">
        <v>46038</v>
      </c>
      <c r="F12" s="16" t="str">
        <f>IF($A12&lt;&gt;"",IF($F3="","DIRETO",""),"")</f>
        <v>DIRETO</v>
      </c>
      <c r="G12" s="16" t="str">
        <f t="shared" si="0"/>
        <v>-</v>
      </c>
      <c r="H12" s="16" t="s">
        <v>96</v>
      </c>
      <c r="J12" s="23">
        <f>J10/J8</f>
        <v>1</v>
      </c>
      <c r="N12" s="26">
        <f>N10/N8</f>
        <v>0.94063926940639264</v>
      </c>
    </row>
    <row r="13" spans="1:14" ht="35.1" customHeight="1" x14ac:dyDescent="0.25">
      <c r="A13" s="14">
        <v>7448275</v>
      </c>
      <c r="B13" s="16">
        <v>30500552</v>
      </c>
      <c r="C13" s="16">
        <v>14</v>
      </c>
      <c r="D13" s="16" t="s">
        <v>95</v>
      </c>
      <c r="E13" s="29">
        <v>46042</v>
      </c>
      <c r="F13" s="16" t="s">
        <v>9</v>
      </c>
      <c r="G13" s="29">
        <v>46042</v>
      </c>
      <c r="H13" s="16" t="s">
        <v>96</v>
      </c>
    </row>
    <row r="14" spans="1:14" ht="35.1" customHeight="1" x14ac:dyDescent="0.25">
      <c r="A14" s="14">
        <v>7448276</v>
      </c>
      <c r="B14" s="16" t="s">
        <v>36</v>
      </c>
      <c r="C14" s="16">
        <v>8</v>
      </c>
      <c r="D14" s="16" t="s">
        <v>95</v>
      </c>
      <c r="E14" s="29">
        <v>46038</v>
      </c>
      <c r="F14" s="16" t="str">
        <f>IF($A14&lt;&gt;"",IF($F3="","DIRETO",""),"")</f>
        <v>DIRETO</v>
      </c>
      <c r="G14" s="16" t="str">
        <f t="shared" si="0"/>
        <v>-</v>
      </c>
      <c r="H14" s="16" t="s">
        <v>96</v>
      </c>
    </row>
    <row r="15" spans="1:14" ht="35.1" customHeight="1" x14ac:dyDescent="0.25">
      <c r="A15" s="13">
        <v>46036</v>
      </c>
      <c r="B15" s="33" t="s">
        <v>30</v>
      </c>
      <c r="C15" s="34"/>
      <c r="D15" s="34"/>
      <c r="E15" s="34"/>
      <c r="F15" s="35"/>
      <c r="G15" s="5">
        <v>310</v>
      </c>
      <c r="H15" s="5" t="str">
        <f>VLOOKUP(G15,Apoio!A$1:B40,2,0)</f>
        <v>GEKA</v>
      </c>
    </row>
    <row r="16" spans="1:14" ht="35.1" customHeight="1" x14ac:dyDescent="0.25">
      <c r="A16" s="11"/>
      <c r="B16" s="6" t="s">
        <v>19</v>
      </c>
      <c r="C16" s="12"/>
      <c r="D16" s="30" t="s">
        <v>4</v>
      </c>
      <c r="E16" s="31"/>
      <c r="F16" s="31"/>
      <c r="G16" s="31"/>
      <c r="H16" s="32"/>
    </row>
    <row r="17" spans="1:10" ht="35.1" customHeight="1" x14ac:dyDescent="0.25">
      <c r="A17" s="3" t="s">
        <v>0</v>
      </c>
      <c r="B17" s="3" t="s">
        <v>2</v>
      </c>
      <c r="C17" s="3" t="s">
        <v>1</v>
      </c>
      <c r="D17" s="3" t="str">
        <f>IFERROR(VLOOKUP(G15,Apoio!F$1:G$43,2,0),"")</f>
        <v>GEKA</v>
      </c>
      <c r="E17" s="4" t="s">
        <v>5</v>
      </c>
      <c r="F17" s="3" t="str">
        <f>IFERROR(VLOOKUP(G15,Apoio!H$1:I$44,2,0),"")</f>
        <v/>
      </c>
      <c r="G17" s="4" t="s">
        <v>5</v>
      </c>
      <c r="H17" s="4" t="s">
        <v>6</v>
      </c>
    </row>
    <row r="18" spans="1:10" ht="35.1" customHeight="1" x14ac:dyDescent="0.25">
      <c r="A18" s="14">
        <v>7448277</v>
      </c>
      <c r="B18" s="15">
        <v>30502387</v>
      </c>
      <c r="C18" s="16">
        <v>7</v>
      </c>
      <c r="D18" s="16" t="s">
        <v>99</v>
      </c>
      <c r="E18" s="29">
        <v>46038</v>
      </c>
      <c r="F18" s="16" t="str">
        <f>IF($A18&lt;&gt;"",IF($F17="","DIRETO",""),"")</f>
        <v>DIRETO</v>
      </c>
      <c r="G18" s="16" t="str">
        <f>IF(F18="DIRETO","-","")</f>
        <v>-</v>
      </c>
      <c r="H18" s="16" t="s">
        <v>96</v>
      </c>
    </row>
    <row r="19" spans="1:10" ht="35.1" customHeight="1" x14ac:dyDescent="0.25">
      <c r="A19" s="14"/>
      <c r="B19" s="15"/>
      <c r="C19" s="16"/>
      <c r="D19" s="16"/>
      <c r="E19" s="16"/>
      <c r="F19" s="16" t="str">
        <f>IF($A19&lt;&gt;"",IF($F17="","DIRETO",""),"")</f>
        <v/>
      </c>
      <c r="G19" s="16" t="str">
        <f t="shared" ref="G19:G28" si="1">IF(F19="DIRETO","-","")</f>
        <v/>
      </c>
      <c r="H19" s="16"/>
    </row>
    <row r="20" spans="1:10" ht="35.1" customHeight="1" x14ac:dyDescent="0.25">
      <c r="A20" s="14"/>
      <c r="B20" s="15"/>
      <c r="C20" s="16"/>
      <c r="D20" s="16"/>
      <c r="E20" s="16"/>
      <c r="F20" s="16" t="str">
        <f>IF($A20&lt;&gt;"",IF($F17="","DIRETO",""),"")</f>
        <v/>
      </c>
      <c r="G20" s="16" t="str">
        <f t="shared" si="1"/>
        <v/>
      </c>
      <c r="H20" s="16"/>
      <c r="J20" s="10"/>
    </row>
    <row r="21" spans="1:10" ht="35.1" customHeight="1" x14ac:dyDescent="0.25">
      <c r="A21" s="14"/>
      <c r="B21" s="15"/>
      <c r="C21" s="16"/>
      <c r="D21" s="16"/>
      <c r="E21" s="16"/>
      <c r="F21" s="16" t="str">
        <f>IF($A21&lt;&gt;"",IF($F17="","DIRETO",""),"")</f>
        <v/>
      </c>
      <c r="G21" s="16" t="str">
        <f t="shared" si="1"/>
        <v/>
      </c>
      <c r="H21" s="16"/>
      <c r="J21" s="10"/>
    </row>
    <row r="22" spans="1:10" ht="35.1" customHeight="1" x14ac:dyDescent="0.25">
      <c r="A22" s="14"/>
      <c r="B22" s="16"/>
      <c r="C22" s="16"/>
      <c r="D22" s="16"/>
      <c r="E22" s="16"/>
      <c r="F22" s="16" t="str">
        <f>IF($A22&lt;&gt;"",IF($F17="","DIRETO",""),"")</f>
        <v/>
      </c>
      <c r="G22" s="16" t="str">
        <f t="shared" si="1"/>
        <v/>
      </c>
      <c r="H22" s="16"/>
      <c r="J22" s="10"/>
    </row>
    <row r="23" spans="1:10" ht="35.1" customHeight="1" x14ac:dyDescent="0.25">
      <c r="A23" s="14"/>
      <c r="B23" s="16"/>
      <c r="C23" s="16"/>
      <c r="D23" s="16"/>
      <c r="E23" s="16"/>
      <c r="F23" s="16" t="str">
        <f>IF($A23&lt;&gt;"",IF($F17="","DIRETO",""),"")</f>
        <v/>
      </c>
      <c r="G23" s="16" t="str">
        <f t="shared" si="1"/>
        <v/>
      </c>
      <c r="H23" s="16"/>
      <c r="J23" s="10"/>
    </row>
    <row r="24" spans="1:10" ht="35.1" customHeight="1" x14ac:dyDescent="0.25">
      <c r="A24" s="14"/>
      <c r="B24" s="16"/>
      <c r="C24" s="16"/>
      <c r="D24" s="16"/>
      <c r="E24" s="16"/>
      <c r="F24" s="16" t="str">
        <f>IF($A24&lt;&gt;"",IF($F17="","DIRETO",""),"")</f>
        <v/>
      </c>
      <c r="G24" s="16" t="str">
        <f t="shared" si="1"/>
        <v/>
      </c>
      <c r="H24" s="16"/>
      <c r="J24" s="10"/>
    </row>
    <row r="25" spans="1:10" ht="35.1" customHeight="1" x14ac:dyDescent="0.25">
      <c r="A25" s="14"/>
      <c r="B25" s="16"/>
      <c r="C25" s="16"/>
      <c r="D25" s="16"/>
      <c r="E25" s="16"/>
      <c r="F25" s="16" t="str">
        <f>IF($A25&lt;&gt;"",IF($F17="","DIRETO",""),"")</f>
        <v/>
      </c>
      <c r="G25" s="16" t="str">
        <f t="shared" si="1"/>
        <v/>
      </c>
      <c r="H25" s="16"/>
      <c r="J25" s="10"/>
    </row>
    <row r="26" spans="1:10" ht="35.1" customHeight="1" x14ac:dyDescent="0.25">
      <c r="A26" s="14"/>
      <c r="B26" s="16"/>
      <c r="C26" s="16"/>
      <c r="D26" s="16"/>
      <c r="E26" s="16"/>
      <c r="F26" s="16" t="str">
        <f>IF($A26&lt;&gt;"",IF($F17="","DIRETO",""),"")</f>
        <v/>
      </c>
      <c r="G26" s="16" t="str">
        <f t="shared" si="1"/>
        <v/>
      </c>
      <c r="H26" s="16"/>
      <c r="J26" s="10"/>
    </row>
    <row r="27" spans="1:10" ht="35.1" customHeight="1" x14ac:dyDescent="0.25">
      <c r="A27" s="14"/>
      <c r="B27" s="16"/>
      <c r="C27" s="16"/>
      <c r="D27" s="16"/>
      <c r="E27" s="16"/>
      <c r="F27" s="16" t="str">
        <f>IF($A27&lt;&gt;"",IF($F17="","DIRETO",""),"")</f>
        <v/>
      </c>
      <c r="G27" s="16" t="str">
        <f t="shared" si="1"/>
        <v/>
      </c>
      <c r="H27" s="16"/>
    </row>
    <row r="28" spans="1:10" ht="35.1" customHeight="1" x14ac:dyDescent="0.25">
      <c r="A28" s="14"/>
      <c r="B28" s="16"/>
      <c r="C28" s="16"/>
      <c r="D28" s="16"/>
      <c r="E28" s="16"/>
      <c r="F28" s="16" t="str">
        <f>IF($A28&lt;&gt;"",IF($F17="","DIRETO",""),"")</f>
        <v/>
      </c>
      <c r="G28" s="16" t="str">
        <f t="shared" si="1"/>
        <v/>
      </c>
      <c r="H28" s="16"/>
    </row>
    <row r="29" spans="1:10" ht="35.1" customHeight="1" x14ac:dyDescent="0.25">
      <c r="A29" s="13">
        <v>46036</v>
      </c>
      <c r="B29" s="33" t="s">
        <v>30</v>
      </c>
      <c r="C29" s="34"/>
      <c r="D29" s="34"/>
      <c r="E29" s="34"/>
      <c r="F29" s="35"/>
      <c r="G29" s="5">
        <v>311</v>
      </c>
      <c r="H29" s="5" t="str">
        <f>VLOOKUP(G29,Apoio!A$1:B54,2,0)</f>
        <v>GEKA/DOBRA</v>
      </c>
    </row>
    <row r="30" spans="1:10" ht="35.1" customHeight="1" x14ac:dyDescent="0.25">
      <c r="A30" s="11"/>
      <c r="B30" s="6" t="s">
        <v>19</v>
      </c>
      <c r="C30" s="12"/>
      <c r="D30" s="30" t="s">
        <v>4</v>
      </c>
      <c r="E30" s="31"/>
      <c r="F30" s="31"/>
      <c r="G30" s="31"/>
      <c r="H30" s="32"/>
    </row>
    <row r="31" spans="1:10" ht="35.1" customHeight="1" x14ac:dyDescent="0.25">
      <c r="A31" s="3" t="s">
        <v>0</v>
      </c>
      <c r="B31" s="3" t="s">
        <v>2</v>
      </c>
      <c r="C31" s="3" t="s">
        <v>1</v>
      </c>
      <c r="D31" s="3" t="str">
        <f>IFERROR(VLOOKUP(G29,Apoio!F$1:G$43,2,0),"")</f>
        <v>GEKA</v>
      </c>
      <c r="E31" s="4" t="s">
        <v>5</v>
      </c>
      <c r="F31" s="3" t="str">
        <f>IFERROR(VLOOKUP(G29,Apoio!H$1:I$44,2,0),"")</f>
        <v>DOBRA</v>
      </c>
      <c r="G31" s="4" t="s">
        <v>5</v>
      </c>
      <c r="H31" s="4" t="s">
        <v>6</v>
      </c>
    </row>
    <row r="32" spans="1:10" ht="35.1" customHeight="1" x14ac:dyDescent="0.25">
      <c r="A32" s="14">
        <v>7448278</v>
      </c>
      <c r="B32" s="15">
        <v>30500130</v>
      </c>
      <c r="C32" s="16">
        <v>14</v>
      </c>
      <c r="D32" s="16" t="s">
        <v>95</v>
      </c>
      <c r="E32" s="29">
        <v>46038</v>
      </c>
      <c r="F32" s="16" t="s">
        <v>96</v>
      </c>
      <c r="G32" s="29">
        <v>46043</v>
      </c>
      <c r="H32" s="16" t="s">
        <v>96</v>
      </c>
    </row>
    <row r="33" spans="1:10" ht="35.1" customHeight="1" x14ac:dyDescent="0.25">
      <c r="A33" s="14">
        <v>7448279</v>
      </c>
      <c r="B33" s="15">
        <v>30500117</v>
      </c>
      <c r="C33" s="16">
        <v>14</v>
      </c>
      <c r="D33" s="16" t="s">
        <v>95</v>
      </c>
      <c r="E33" s="29">
        <v>46038</v>
      </c>
      <c r="F33" s="16" t="s">
        <v>96</v>
      </c>
      <c r="G33" s="29">
        <v>46044</v>
      </c>
      <c r="H33" s="16" t="s">
        <v>96</v>
      </c>
    </row>
    <row r="34" spans="1:10" ht="35.1" customHeight="1" x14ac:dyDescent="0.25">
      <c r="A34" s="14">
        <v>7448280</v>
      </c>
      <c r="B34" s="15">
        <v>30500442</v>
      </c>
      <c r="C34" s="16">
        <v>42</v>
      </c>
      <c r="D34" s="16" t="s">
        <v>95</v>
      </c>
      <c r="E34" s="29">
        <v>46038</v>
      </c>
      <c r="F34" s="16" t="s">
        <v>96</v>
      </c>
      <c r="G34" s="29">
        <v>46043</v>
      </c>
      <c r="H34" s="16" t="s">
        <v>96</v>
      </c>
      <c r="J34" s="5" t="str">
        <f>VLOOKUP(G29,Apoio!A$1:B54,2,0)</f>
        <v>GEKA/DOBRA</v>
      </c>
    </row>
    <row r="35" spans="1:10" ht="35.1" customHeight="1" x14ac:dyDescent="0.25">
      <c r="A35" s="14">
        <v>7448281</v>
      </c>
      <c r="B35" s="16">
        <v>30500462</v>
      </c>
      <c r="C35" s="16">
        <v>14</v>
      </c>
      <c r="D35" s="16" t="s">
        <v>95</v>
      </c>
      <c r="E35" s="29">
        <v>46038</v>
      </c>
      <c r="F35" s="16" t="s">
        <v>96</v>
      </c>
      <c r="G35" s="29">
        <v>46043</v>
      </c>
      <c r="H35" s="16" t="s">
        <v>96</v>
      </c>
      <c r="J35" s="18" t="s">
        <v>21</v>
      </c>
    </row>
    <row r="36" spans="1:10" ht="35.1" customHeight="1" x14ac:dyDescent="0.25">
      <c r="A36" s="14"/>
      <c r="B36" s="16"/>
      <c r="C36" s="16"/>
      <c r="D36" s="16"/>
      <c r="E36" s="16"/>
      <c r="F36" s="16" t="str">
        <f>IF($A36&lt;&gt;"",IF($F31="","DIRETO",""),"")</f>
        <v/>
      </c>
      <c r="G36" s="16" t="str">
        <f t="shared" ref="G36:G42" si="2">IF(F36="DIRETO","-","")</f>
        <v/>
      </c>
      <c r="H36" s="16"/>
      <c r="J36" s="19">
        <f t="shared" ref="J36" si="3">COUNTIF(A32:A42,"&gt;7000000")</f>
        <v>4</v>
      </c>
    </row>
    <row r="37" spans="1:10" ht="35.1" customHeight="1" x14ac:dyDescent="0.25">
      <c r="A37" s="14"/>
      <c r="B37" s="16"/>
      <c r="C37" s="16"/>
      <c r="D37" s="16"/>
      <c r="E37" s="16"/>
      <c r="F37" s="16" t="str">
        <f>IF($A37&lt;&gt;"",IF($F31="","DIRETO",""),"")</f>
        <v/>
      </c>
      <c r="G37" s="16" t="str">
        <f t="shared" si="2"/>
        <v/>
      </c>
      <c r="H37" s="16"/>
      <c r="J37" s="20" t="s">
        <v>22</v>
      </c>
    </row>
    <row r="38" spans="1:10" ht="35.1" customHeight="1" x14ac:dyDescent="0.25">
      <c r="A38" s="14"/>
      <c r="B38" s="16"/>
      <c r="C38" s="16"/>
      <c r="D38" s="16"/>
      <c r="E38" s="16"/>
      <c r="F38" s="16" t="str">
        <f>IF($A38&lt;&gt;"",IF($F31="","DIRETO",""),"")</f>
        <v/>
      </c>
      <c r="G38" s="16" t="str">
        <f t="shared" si="2"/>
        <v/>
      </c>
      <c r="H38" s="16"/>
      <c r="J38" s="21">
        <f>COUNTIF(H32:H42,"ok*")</f>
        <v>4</v>
      </c>
    </row>
    <row r="39" spans="1:10" ht="35.1" customHeight="1" x14ac:dyDescent="0.25">
      <c r="A39" s="14"/>
      <c r="B39" s="16"/>
      <c r="C39" s="16"/>
      <c r="D39" s="16"/>
      <c r="E39" s="16"/>
      <c r="F39" s="16" t="str">
        <f>IF($A39&lt;&gt;"",IF($F31="","DIRETO",""),"")</f>
        <v/>
      </c>
      <c r="G39" s="16" t="str">
        <f t="shared" si="2"/>
        <v/>
      </c>
      <c r="H39" s="16"/>
      <c r="J39" s="22" t="s">
        <v>23</v>
      </c>
    </row>
    <row r="40" spans="1:10" ht="35.1" customHeight="1" x14ac:dyDescent="0.25">
      <c r="A40" s="14"/>
      <c r="B40" s="16"/>
      <c r="C40" s="16"/>
      <c r="D40" s="16"/>
      <c r="E40" s="16"/>
      <c r="F40" s="16" t="str">
        <f>IF($A40&lt;&gt;"",IF($F31="","DIRETO",""),"")</f>
        <v/>
      </c>
      <c r="G40" s="16" t="str">
        <f t="shared" si="2"/>
        <v/>
      </c>
      <c r="H40" s="16"/>
      <c r="J40" s="23">
        <f t="shared" ref="J40" si="4">J38/J36</f>
        <v>1</v>
      </c>
    </row>
    <row r="41" spans="1:10" ht="35.1" customHeight="1" x14ac:dyDescent="0.25">
      <c r="A41" s="14"/>
      <c r="B41" s="16"/>
      <c r="C41" s="16"/>
      <c r="D41" s="16"/>
      <c r="E41" s="16"/>
      <c r="F41" s="16" t="str">
        <f>IF($A41&lt;&gt;"",IF($F31="","DIRETO",""),"")</f>
        <v/>
      </c>
      <c r="G41" s="16" t="str">
        <f t="shared" si="2"/>
        <v/>
      </c>
      <c r="H41" s="16"/>
    </row>
    <row r="42" spans="1:10" ht="35.1" customHeight="1" x14ac:dyDescent="0.25">
      <c r="A42" s="14"/>
      <c r="B42" s="16"/>
      <c r="C42" s="16"/>
      <c r="D42" s="16"/>
      <c r="E42" s="16"/>
      <c r="F42" s="16" t="str">
        <f>IF($A42&lt;&gt;"",IF($F31="","DIRETO",""),"")</f>
        <v/>
      </c>
      <c r="G42" s="16" t="str">
        <f t="shared" si="2"/>
        <v/>
      </c>
      <c r="H42" s="16"/>
    </row>
    <row r="43" spans="1:10" ht="35.1" customHeight="1" x14ac:dyDescent="0.25">
      <c r="A43" s="13">
        <v>46036</v>
      </c>
      <c r="B43" s="33" t="s">
        <v>30</v>
      </c>
      <c r="C43" s="34"/>
      <c r="D43" s="34"/>
      <c r="E43" s="34"/>
      <c r="F43" s="35"/>
      <c r="G43" s="5">
        <v>320</v>
      </c>
      <c r="H43" s="5" t="str">
        <f>VLOOKUP(G43,Apoio!A$1:B68,2,0)</f>
        <v>GUILHOTINA</v>
      </c>
    </row>
    <row r="44" spans="1:10" ht="35.1" customHeight="1" x14ac:dyDescent="0.25">
      <c r="A44" s="11"/>
      <c r="B44" s="6" t="s">
        <v>19</v>
      </c>
      <c r="C44" s="12"/>
      <c r="D44" s="30" t="s">
        <v>4</v>
      </c>
      <c r="E44" s="31"/>
      <c r="F44" s="31"/>
      <c r="G44" s="31"/>
      <c r="H44" s="32"/>
    </row>
    <row r="45" spans="1:10" ht="35.1" customHeight="1" x14ac:dyDescent="0.25">
      <c r="A45" s="3" t="s">
        <v>0</v>
      </c>
      <c r="B45" s="3" t="s">
        <v>2</v>
      </c>
      <c r="C45" s="3" t="s">
        <v>1</v>
      </c>
      <c r="D45" s="3" t="str">
        <f>IFERROR(VLOOKUP(G43,Apoio!F$1:G$43,2,0),"")</f>
        <v>GUILHOTINA</v>
      </c>
      <c r="E45" s="4" t="s">
        <v>5</v>
      </c>
      <c r="F45" s="3" t="str">
        <f>IFERROR(VLOOKUP(G43,Apoio!H$1:I$44,2,0),"")</f>
        <v/>
      </c>
      <c r="G45" s="4" t="s">
        <v>5</v>
      </c>
      <c r="H45" s="4" t="s">
        <v>6</v>
      </c>
    </row>
    <row r="46" spans="1:10" ht="35.1" customHeight="1" x14ac:dyDescent="0.25">
      <c r="A46" s="14">
        <v>7448282</v>
      </c>
      <c r="B46" s="15">
        <v>30500436</v>
      </c>
      <c r="C46" s="16">
        <v>14</v>
      </c>
      <c r="D46" s="16" t="s">
        <v>95</v>
      </c>
      <c r="E46" s="29">
        <v>46043</v>
      </c>
      <c r="F46" s="16" t="str">
        <f>IF($A46&lt;&gt;"",IF($F45="","DIRETO",""),"")</f>
        <v>DIRETO</v>
      </c>
      <c r="G46" s="16" t="str">
        <f>IF(F46="DIRETO","-","")</f>
        <v>-</v>
      </c>
      <c r="H46" s="16" t="s">
        <v>96</v>
      </c>
    </row>
    <row r="47" spans="1:10" ht="35.1" customHeight="1" x14ac:dyDescent="0.25">
      <c r="A47" s="14">
        <v>7448283</v>
      </c>
      <c r="B47" s="15" t="s">
        <v>37</v>
      </c>
      <c r="C47" s="16">
        <v>14</v>
      </c>
      <c r="D47" s="16" t="s">
        <v>95</v>
      </c>
      <c r="E47" s="29">
        <v>46045</v>
      </c>
      <c r="F47" s="16" t="str">
        <f>IF($A47&lt;&gt;"",IF($F45="","DIRETO",""),"")</f>
        <v>DIRETO</v>
      </c>
      <c r="G47" s="16" t="str">
        <f t="shared" ref="G47:G56" si="5">IF(F47="DIRETO","-","")</f>
        <v>-</v>
      </c>
      <c r="H47" s="16" t="s">
        <v>96</v>
      </c>
    </row>
    <row r="48" spans="1:10" ht="35.1" customHeight="1" x14ac:dyDescent="0.25">
      <c r="A48" s="14">
        <v>7448284</v>
      </c>
      <c r="B48" s="15">
        <v>30500452</v>
      </c>
      <c r="C48" s="16">
        <v>28</v>
      </c>
      <c r="D48" s="16" t="s">
        <v>95</v>
      </c>
      <c r="E48" s="29">
        <v>46045</v>
      </c>
      <c r="F48" s="16" t="str">
        <f>IF($A48&lt;&gt;"",IF($F45="","DIRETO",""),"")</f>
        <v>DIRETO</v>
      </c>
      <c r="G48" s="16" t="str">
        <f t="shared" si="5"/>
        <v>-</v>
      </c>
      <c r="H48" s="16" t="s">
        <v>96</v>
      </c>
      <c r="J48" s="5" t="str">
        <f>VLOOKUP(G43,Apoio!A$1:B68,2,0)</f>
        <v>GUILHOTINA</v>
      </c>
    </row>
    <row r="49" spans="1:10" ht="35.1" customHeight="1" x14ac:dyDescent="0.25">
      <c r="A49" s="14">
        <v>7448285</v>
      </c>
      <c r="B49" s="15" t="s">
        <v>38</v>
      </c>
      <c r="C49" s="16">
        <v>14</v>
      </c>
      <c r="D49" s="16" t="s">
        <v>95</v>
      </c>
      <c r="E49" s="29">
        <v>46043</v>
      </c>
      <c r="F49" s="16" t="str">
        <f>IF($A49&lt;&gt;"",IF($F45="","DIRETO",""),"")</f>
        <v>DIRETO</v>
      </c>
      <c r="G49" s="16" t="str">
        <f t="shared" si="5"/>
        <v>-</v>
      </c>
      <c r="H49" s="16" t="s">
        <v>96</v>
      </c>
      <c r="J49" s="18" t="s">
        <v>21</v>
      </c>
    </row>
    <row r="50" spans="1:10" ht="35.1" customHeight="1" x14ac:dyDescent="0.25">
      <c r="A50" s="14">
        <v>7448286</v>
      </c>
      <c r="B50" s="16" t="s">
        <v>39</v>
      </c>
      <c r="C50" s="16">
        <v>14</v>
      </c>
      <c r="D50" s="16" t="s">
        <v>95</v>
      </c>
      <c r="E50" s="29">
        <v>46045</v>
      </c>
      <c r="F50" s="16" t="str">
        <f>IF($A50&lt;&gt;"",IF($F45="","DIRETO",""),"")</f>
        <v>DIRETO</v>
      </c>
      <c r="G50" s="16" t="str">
        <f t="shared" si="5"/>
        <v>-</v>
      </c>
      <c r="H50" s="16" t="s">
        <v>96</v>
      </c>
      <c r="J50" s="19">
        <f>COUNTIF(A46:A60,"&gt;7000000")</f>
        <v>12</v>
      </c>
    </row>
    <row r="51" spans="1:10" ht="35.1" customHeight="1" x14ac:dyDescent="0.25">
      <c r="A51" s="14">
        <v>7448287</v>
      </c>
      <c r="B51" s="16">
        <v>30500470</v>
      </c>
      <c r="C51" s="16">
        <v>4</v>
      </c>
      <c r="D51" s="16" t="s">
        <v>95</v>
      </c>
      <c r="E51" s="29">
        <v>46049</v>
      </c>
      <c r="F51" s="16" t="str">
        <f>IF($A51&lt;&gt;"",IF($F45="","DIRETO",""),"")</f>
        <v>DIRETO</v>
      </c>
      <c r="G51" s="16" t="str">
        <f t="shared" si="5"/>
        <v>-</v>
      </c>
      <c r="H51" s="16" t="s">
        <v>96</v>
      </c>
      <c r="J51" s="20" t="s">
        <v>22</v>
      </c>
    </row>
    <row r="52" spans="1:10" ht="35.1" customHeight="1" x14ac:dyDescent="0.25">
      <c r="A52" s="14">
        <v>7448288</v>
      </c>
      <c r="B52" s="16">
        <v>30500481</v>
      </c>
      <c r="C52" s="16">
        <v>14</v>
      </c>
      <c r="D52" s="16" t="s">
        <v>95</v>
      </c>
      <c r="E52" s="29">
        <v>46043</v>
      </c>
      <c r="F52" s="16" t="str">
        <f>IF($A52&lt;&gt;"",IF($F45="","DIRETO",""),"")</f>
        <v>DIRETO</v>
      </c>
      <c r="G52" s="16" t="str">
        <f t="shared" si="5"/>
        <v>-</v>
      </c>
      <c r="H52" s="16" t="s">
        <v>96</v>
      </c>
      <c r="J52" s="21">
        <f>COUNTIF(H46:H60,"ok*")</f>
        <v>12</v>
      </c>
    </row>
    <row r="53" spans="1:10" ht="35.1" customHeight="1" x14ac:dyDescent="0.25">
      <c r="A53" s="14">
        <v>7448289</v>
      </c>
      <c r="B53" s="16">
        <v>30500515</v>
      </c>
      <c r="C53" s="16">
        <v>7</v>
      </c>
      <c r="D53" s="16" t="s">
        <v>95</v>
      </c>
      <c r="E53" s="29">
        <v>46043</v>
      </c>
      <c r="F53" s="16" t="s">
        <v>100</v>
      </c>
      <c r="G53" s="16" t="s">
        <v>98</v>
      </c>
      <c r="H53" s="16" t="s">
        <v>96</v>
      </c>
      <c r="J53" s="22" t="s">
        <v>23</v>
      </c>
    </row>
    <row r="54" spans="1:10" ht="35.1" customHeight="1" x14ac:dyDescent="0.25">
      <c r="A54" s="14">
        <v>7448290</v>
      </c>
      <c r="B54" s="16">
        <v>30500548</v>
      </c>
      <c r="C54" s="16">
        <v>70</v>
      </c>
      <c r="D54" s="16" t="s">
        <v>95</v>
      </c>
      <c r="E54" s="29">
        <v>46043</v>
      </c>
      <c r="F54" s="16" t="str">
        <f>IF($A54&lt;&gt;"",IF($F45="","DIRETO",""),"")</f>
        <v>DIRETO</v>
      </c>
      <c r="G54" s="16" t="str">
        <f t="shared" si="5"/>
        <v>-</v>
      </c>
      <c r="H54" s="16" t="s">
        <v>96</v>
      </c>
      <c r="J54" s="23">
        <f t="shared" ref="J54" si="6">J52/J50</f>
        <v>1</v>
      </c>
    </row>
    <row r="55" spans="1:10" ht="35.1" customHeight="1" x14ac:dyDescent="0.25">
      <c r="A55" s="14">
        <v>7448291</v>
      </c>
      <c r="B55" s="16">
        <v>30501003</v>
      </c>
      <c r="C55" s="16">
        <v>35</v>
      </c>
      <c r="D55" s="16" t="s">
        <v>95</v>
      </c>
      <c r="E55" s="29">
        <v>46045</v>
      </c>
      <c r="F55" s="16" t="str">
        <f>IF($A55&lt;&gt;"",IF($F45="","DIRETO",""),"")</f>
        <v>DIRETO</v>
      </c>
      <c r="G55" s="16" t="str">
        <f t="shared" si="5"/>
        <v>-</v>
      </c>
      <c r="H55" s="16" t="s">
        <v>96</v>
      </c>
    </row>
    <row r="56" spans="1:10" ht="35.1" customHeight="1" x14ac:dyDescent="0.25">
      <c r="A56" s="14">
        <v>7448292</v>
      </c>
      <c r="B56" s="16">
        <v>30501005</v>
      </c>
      <c r="C56" s="16">
        <v>70</v>
      </c>
      <c r="D56" s="16" t="s">
        <v>95</v>
      </c>
      <c r="E56" s="29">
        <v>46045</v>
      </c>
      <c r="F56" s="16" t="str">
        <f>IF($A56&lt;&gt;"",IF($F45="","DIRETO",""),"")</f>
        <v>DIRETO</v>
      </c>
      <c r="G56" s="16" t="str">
        <f t="shared" si="5"/>
        <v>-</v>
      </c>
      <c r="H56" s="16" t="s">
        <v>96</v>
      </c>
    </row>
    <row r="57" spans="1:10" ht="35.1" customHeight="1" x14ac:dyDescent="0.25">
      <c r="A57" s="13">
        <v>46036</v>
      </c>
      <c r="B57" s="33" t="s">
        <v>30</v>
      </c>
      <c r="C57" s="34"/>
      <c r="D57" s="34"/>
      <c r="E57" s="34"/>
      <c r="F57" s="35"/>
      <c r="G57" s="5">
        <v>320</v>
      </c>
      <c r="H57" s="5" t="str">
        <f>VLOOKUP(G57,Apoio!A$1:B82,2,0)</f>
        <v>GUILHOTINA</v>
      </c>
    </row>
    <row r="58" spans="1:10" ht="35.1" customHeight="1" x14ac:dyDescent="0.25">
      <c r="A58" s="11"/>
      <c r="B58" s="6" t="s">
        <v>19</v>
      </c>
      <c r="C58" s="12"/>
      <c r="D58" s="30" t="s">
        <v>4</v>
      </c>
      <c r="E58" s="31"/>
      <c r="F58" s="31"/>
      <c r="G58" s="31"/>
      <c r="H58" s="32"/>
    </row>
    <row r="59" spans="1:10" ht="35.1" customHeight="1" x14ac:dyDescent="0.25">
      <c r="A59" s="3" t="s">
        <v>0</v>
      </c>
      <c r="B59" s="3" t="s">
        <v>2</v>
      </c>
      <c r="C59" s="3" t="s">
        <v>1</v>
      </c>
      <c r="D59" s="3" t="str">
        <f>IFERROR(VLOOKUP(G57,Apoio!F$1:G$43,2,0),"")</f>
        <v>GUILHOTINA</v>
      </c>
      <c r="E59" s="4" t="s">
        <v>5</v>
      </c>
      <c r="F59" s="3" t="str">
        <f>IFERROR(VLOOKUP(G57,Apoio!H$1:I$44,2,0),"")</f>
        <v/>
      </c>
      <c r="G59" s="4" t="s">
        <v>5</v>
      </c>
      <c r="H59" s="4" t="s">
        <v>6</v>
      </c>
    </row>
    <row r="60" spans="1:10" ht="35.1" customHeight="1" x14ac:dyDescent="0.25">
      <c r="A60" s="14">
        <v>7448293</v>
      </c>
      <c r="B60" s="15">
        <v>30509027</v>
      </c>
      <c r="C60" s="16">
        <v>28</v>
      </c>
      <c r="D60" s="16" t="s">
        <v>95</v>
      </c>
      <c r="E60" s="29">
        <v>46043</v>
      </c>
      <c r="F60" s="16" t="str">
        <f>IF($A60&lt;&gt;"",IF($F59="","DIRETO",""),"")</f>
        <v>DIRETO</v>
      </c>
      <c r="G60" s="16" t="str">
        <f>IF(F60="DIRETO","-","")</f>
        <v>-</v>
      </c>
      <c r="H60" s="16" t="s">
        <v>96</v>
      </c>
    </row>
    <row r="61" spans="1:10" ht="35.1" customHeight="1" x14ac:dyDescent="0.25">
      <c r="A61" s="14"/>
      <c r="B61" s="15"/>
      <c r="C61" s="16"/>
      <c r="D61" s="16"/>
      <c r="E61" s="16"/>
      <c r="F61" s="16" t="str">
        <f>IF($A61&lt;&gt;"",IF($F59="","DIRETO",""),"")</f>
        <v/>
      </c>
      <c r="G61" s="16" t="str">
        <f t="shared" ref="G61:G70" si="7">IF(F61="DIRETO","-","")</f>
        <v/>
      </c>
      <c r="H61" s="16"/>
    </row>
    <row r="62" spans="1:10" ht="35.1" customHeight="1" x14ac:dyDescent="0.25">
      <c r="A62" s="14"/>
      <c r="B62" s="15"/>
      <c r="C62" s="16"/>
      <c r="D62" s="16"/>
      <c r="E62" s="16"/>
      <c r="F62" s="16" t="str">
        <f>IF($A62&lt;&gt;"",IF($F59="","DIRETO",""),"")</f>
        <v/>
      </c>
      <c r="G62" s="16" t="str">
        <f t="shared" si="7"/>
        <v/>
      </c>
      <c r="H62" s="16"/>
      <c r="J62" s="10"/>
    </row>
    <row r="63" spans="1:10" ht="35.1" customHeight="1" x14ac:dyDescent="0.25">
      <c r="A63" s="14"/>
      <c r="B63" s="15"/>
      <c r="C63" s="16"/>
      <c r="D63" s="16"/>
      <c r="E63" s="16"/>
      <c r="F63" s="16" t="str">
        <f>IF($A63&lt;&gt;"",IF($F59="","DIRETO",""),"")</f>
        <v/>
      </c>
      <c r="G63" s="16" t="str">
        <f t="shared" si="7"/>
        <v/>
      </c>
      <c r="H63" s="16"/>
      <c r="J63" s="10"/>
    </row>
    <row r="64" spans="1:10" ht="35.1" customHeight="1" x14ac:dyDescent="0.25">
      <c r="A64" s="14"/>
      <c r="B64" s="16"/>
      <c r="C64" s="16"/>
      <c r="D64" s="16"/>
      <c r="E64" s="16"/>
      <c r="F64" s="16" t="str">
        <f>IF($A64&lt;&gt;"",IF($F59="","DIRETO",""),"")</f>
        <v/>
      </c>
      <c r="G64" s="16" t="str">
        <f t="shared" si="7"/>
        <v/>
      </c>
      <c r="H64" s="16"/>
      <c r="J64" s="10"/>
    </row>
    <row r="65" spans="1:10" ht="35.1" customHeight="1" x14ac:dyDescent="0.25">
      <c r="A65" s="14"/>
      <c r="B65" s="16"/>
      <c r="C65" s="16"/>
      <c r="D65" s="16"/>
      <c r="E65" s="16"/>
      <c r="F65" s="16" t="str">
        <f>IF($A65&lt;&gt;"",IF($F59="","DIRETO",""),"")</f>
        <v/>
      </c>
      <c r="G65" s="16" t="str">
        <f t="shared" si="7"/>
        <v/>
      </c>
      <c r="H65" s="16"/>
      <c r="J65" s="10"/>
    </row>
    <row r="66" spans="1:10" ht="35.1" customHeight="1" x14ac:dyDescent="0.25">
      <c r="A66" s="14"/>
      <c r="B66" s="16"/>
      <c r="C66" s="16"/>
      <c r="D66" s="16"/>
      <c r="E66" s="16"/>
      <c r="F66" s="16" t="str">
        <f>IF($A66&lt;&gt;"",IF($F59="","DIRETO",""),"")</f>
        <v/>
      </c>
      <c r="G66" s="16" t="str">
        <f t="shared" si="7"/>
        <v/>
      </c>
      <c r="H66" s="16"/>
      <c r="J66" s="10"/>
    </row>
    <row r="67" spans="1:10" ht="35.1" customHeight="1" x14ac:dyDescent="0.25">
      <c r="A67" s="14"/>
      <c r="B67" s="16"/>
      <c r="C67" s="16"/>
      <c r="D67" s="16"/>
      <c r="E67" s="16"/>
      <c r="F67" s="16" t="str">
        <f>IF($A67&lt;&gt;"",IF($F59="","DIRETO",""),"")</f>
        <v/>
      </c>
      <c r="G67" s="16" t="str">
        <f t="shared" si="7"/>
        <v/>
      </c>
      <c r="H67" s="16"/>
      <c r="J67" s="10"/>
    </row>
    <row r="68" spans="1:10" ht="35.1" customHeight="1" x14ac:dyDescent="0.25">
      <c r="A68" s="14"/>
      <c r="B68" s="16"/>
      <c r="C68" s="16"/>
      <c r="D68" s="16"/>
      <c r="E68" s="16"/>
      <c r="F68" s="16" t="str">
        <f>IF($A68&lt;&gt;"",IF($F59="","DIRETO",""),"")</f>
        <v/>
      </c>
      <c r="G68" s="16" t="str">
        <f t="shared" si="7"/>
        <v/>
      </c>
      <c r="H68" s="16"/>
      <c r="J68" s="10"/>
    </row>
    <row r="69" spans="1:10" ht="35.1" customHeight="1" x14ac:dyDescent="0.25">
      <c r="A69" s="14"/>
      <c r="B69" s="16"/>
      <c r="C69" s="16"/>
      <c r="D69" s="16"/>
      <c r="E69" s="16"/>
      <c r="F69" s="16" t="str">
        <f>IF($A69&lt;&gt;"",IF($F59="","DIRETO",""),"")</f>
        <v/>
      </c>
      <c r="G69" s="16" t="str">
        <f t="shared" si="7"/>
        <v/>
      </c>
      <c r="H69" s="16"/>
    </row>
    <row r="70" spans="1:10" ht="35.1" customHeight="1" x14ac:dyDescent="0.25">
      <c r="A70" s="14"/>
      <c r="B70" s="16"/>
      <c r="C70" s="16"/>
      <c r="D70" s="16"/>
      <c r="E70" s="16"/>
      <c r="F70" s="16" t="str">
        <f>IF($A70&lt;&gt;"",IF($F59="","DIRETO",""),"")</f>
        <v/>
      </c>
      <c r="G70" s="16" t="str">
        <f t="shared" si="7"/>
        <v/>
      </c>
      <c r="H70" s="16"/>
    </row>
    <row r="71" spans="1:10" ht="35.1" customHeight="1" x14ac:dyDescent="0.25">
      <c r="A71" s="13">
        <v>46036</v>
      </c>
      <c r="B71" s="33" t="s">
        <v>30</v>
      </c>
      <c r="C71" s="34"/>
      <c r="D71" s="34"/>
      <c r="E71" s="34"/>
      <c r="F71" s="35"/>
      <c r="G71" s="5">
        <v>321</v>
      </c>
      <c r="H71" s="5" t="str">
        <f>VLOOKUP(G71,Apoio!A$1:B96,2,0)</f>
        <v>GUILHOTINA/DOBRA</v>
      </c>
    </row>
    <row r="72" spans="1:10" ht="35.1" customHeight="1" x14ac:dyDescent="0.25">
      <c r="A72" s="11"/>
      <c r="B72" s="6" t="s">
        <v>19</v>
      </c>
      <c r="C72" s="12"/>
      <c r="D72" s="30" t="s">
        <v>4</v>
      </c>
      <c r="E72" s="31"/>
      <c r="F72" s="31"/>
      <c r="G72" s="31"/>
      <c r="H72" s="32"/>
    </row>
    <row r="73" spans="1:10" ht="35.1" customHeight="1" x14ac:dyDescent="0.25">
      <c r="A73" s="3" t="s">
        <v>0</v>
      </c>
      <c r="B73" s="3" t="s">
        <v>2</v>
      </c>
      <c r="C73" s="3" t="s">
        <v>1</v>
      </c>
      <c r="D73" s="3" t="str">
        <f>IFERROR(VLOOKUP(G71,Apoio!F$1:G$43,2,0),"")</f>
        <v>GUILHOTINA</v>
      </c>
      <c r="E73" s="4" t="s">
        <v>5</v>
      </c>
      <c r="F73" s="3" t="str">
        <f>IFERROR(VLOOKUP(G71,Apoio!H$1:I$44,2,0),"")</f>
        <v>DOBRA</v>
      </c>
      <c r="G73" s="4" t="s">
        <v>5</v>
      </c>
      <c r="H73" s="4" t="s">
        <v>6</v>
      </c>
    </row>
    <row r="74" spans="1:10" ht="35.1" customHeight="1" x14ac:dyDescent="0.25">
      <c r="A74" s="14">
        <v>7448294</v>
      </c>
      <c r="B74" s="15">
        <v>30500114</v>
      </c>
      <c r="C74" s="16">
        <v>7</v>
      </c>
      <c r="D74" s="16" t="s">
        <v>95</v>
      </c>
      <c r="E74" s="29">
        <v>46044</v>
      </c>
      <c r="F74" s="16" t="s">
        <v>95</v>
      </c>
      <c r="G74" s="29">
        <v>46058</v>
      </c>
      <c r="H74" s="16" t="s">
        <v>96</v>
      </c>
    </row>
    <row r="75" spans="1:10" ht="35.1" customHeight="1" x14ac:dyDescent="0.25">
      <c r="A75" s="14">
        <v>7448295</v>
      </c>
      <c r="B75" s="15">
        <v>30501002</v>
      </c>
      <c r="C75" s="16">
        <v>70</v>
      </c>
      <c r="D75" s="16" t="s">
        <v>95</v>
      </c>
      <c r="E75" s="29">
        <v>46044</v>
      </c>
      <c r="F75" s="16" t="s">
        <v>101</v>
      </c>
      <c r="G75" s="29">
        <v>46048</v>
      </c>
      <c r="H75" s="16" t="s">
        <v>96</v>
      </c>
    </row>
    <row r="76" spans="1:10" ht="35.1" customHeight="1" x14ac:dyDescent="0.25">
      <c r="A76" s="14">
        <v>7448296</v>
      </c>
      <c r="B76" s="15">
        <v>30500439</v>
      </c>
      <c r="C76" s="16">
        <v>14</v>
      </c>
      <c r="D76" s="16" t="s">
        <v>95</v>
      </c>
      <c r="E76" s="29">
        <v>46044</v>
      </c>
      <c r="F76" s="16" t="s">
        <v>95</v>
      </c>
      <c r="G76" s="29">
        <v>46045</v>
      </c>
      <c r="H76" s="16" t="s">
        <v>96</v>
      </c>
      <c r="J76" s="5" t="str">
        <f>VLOOKUP(G71,Apoio!A$1:B96,2,0)</f>
        <v>GUILHOTINA/DOBRA</v>
      </c>
    </row>
    <row r="77" spans="1:10" ht="35.1" customHeight="1" x14ac:dyDescent="0.25">
      <c r="A77" s="14">
        <v>7448297</v>
      </c>
      <c r="B77" s="15">
        <v>30500448</v>
      </c>
      <c r="C77" s="16">
        <v>7</v>
      </c>
      <c r="D77" s="16" t="s">
        <v>95</v>
      </c>
      <c r="E77" s="29">
        <v>46044</v>
      </c>
      <c r="F77" s="16" t="s">
        <v>95</v>
      </c>
      <c r="G77" s="29">
        <v>46045</v>
      </c>
      <c r="H77" s="16" t="s">
        <v>96</v>
      </c>
      <c r="J77" s="18" t="s">
        <v>21</v>
      </c>
    </row>
    <row r="78" spans="1:10" ht="35.1" customHeight="1" x14ac:dyDescent="0.25">
      <c r="A78" s="14">
        <v>7448298</v>
      </c>
      <c r="B78" s="16">
        <v>30500482</v>
      </c>
      <c r="C78" s="16">
        <v>14</v>
      </c>
      <c r="D78" s="16" t="s">
        <v>95</v>
      </c>
      <c r="E78" s="29">
        <v>46043</v>
      </c>
      <c r="F78" s="16" t="s">
        <v>95</v>
      </c>
      <c r="G78" s="29">
        <v>46043</v>
      </c>
      <c r="H78" s="16" t="s">
        <v>96</v>
      </c>
      <c r="J78" s="19">
        <f t="shared" ref="J78" si="8">COUNTIF(A74:A84,"&gt;7000000")</f>
        <v>9</v>
      </c>
    </row>
    <row r="79" spans="1:10" ht="35.1" customHeight="1" x14ac:dyDescent="0.25">
      <c r="A79" s="14">
        <v>7448299</v>
      </c>
      <c r="B79" s="16">
        <v>30500513</v>
      </c>
      <c r="C79" s="16">
        <v>7</v>
      </c>
      <c r="D79" s="16" t="s">
        <v>95</v>
      </c>
      <c r="E79" s="29">
        <v>46044</v>
      </c>
      <c r="F79" s="16" t="s">
        <v>95</v>
      </c>
      <c r="G79" s="29">
        <v>46045</v>
      </c>
      <c r="H79" s="16" t="s">
        <v>96</v>
      </c>
      <c r="J79" s="20" t="s">
        <v>22</v>
      </c>
    </row>
    <row r="80" spans="1:10" ht="35.1" customHeight="1" x14ac:dyDescent="0.25">
      <c r="A80" s="14">
        <v>7448300</v>
      </c>
      <c r="B80" s="16">
        <v>30500514</v>
      </c>
      <c r="C80" s="16">
        <v>7</v>
      </c>
      <c r="D80" s="16" t="s">
        <v>95</v>
      </c>
      <c r="E80" s="29">
        <v>46044</v>
      </c>
      <c r="F80" s="16" t="s">
        <v>95</v>
      </c>
      <c r="G80" s="29">
        <v>46045</v>
      </c>
      <c r="H80" s="16" t="s">
        <v>96</v>
      </c>
      <c r="J80" s="21">
        <f>COUNTIF(H74:H84,"ok*")</f>
        <v>9</v>
      </c>
    </row>
    <row r="81" spans="1:10" ht="35.1" customHeight="1" x14ac:dyDescent="0.25">
      <c r="A81" s="14">
        <v>7448301</v>
      </c>
      <c r="B81" s="16">
        <v>30500786</v>
      </c>
      <c r="C81" s="16">
        <v>28</v>
      </c>
      <c r="D81" s="16" t="s">
        <v>95</v>
      </c>
      <c r="E81" s="29">
        <v>46058</v>
      </c>
      <c r="F81" s="16" t="s">
        <v>95</v>
      </c>
      <c r="G81" s="29">
        <v>46058</v>
      </c>
      <c r="H81" s="16" t="s">
        <v>96</v>
      </c>
      <c r="J81" s="22" t="s">
        <v>23</v>
      </c>
    </row>
    <row r="82" spans="1:10" ht="35.1" customHeight="1" x14ac:dyDescent="0.25">
      <c r="A82" s="14">
        <v>7448302</v>
      </c>
      <c r="B82" s="16">
        <v>30509088</v>
      </c>
      <c r="C82" s="16">
        <v>9</v>
      </c>
      <c r="D82" s="16" t="s">
        <v>95</v>
      </c>
      <c r="E82" s="29">
        <v>46044</v>
      </c>
      <c r="F82" s="16" t="s">
        <v>95</v>
      </c>
      <c r="G82" s="29">
        <v>46045</v>
      </c>
      <c r="H82" s="16" t="s">
        <v>96</v>
      </c>
      <c r="J82" s="23">
        <f t="shared" ref="J82" si="9">J80/J78</f>
        <v>1</v>
      </c>
    </row>
    <row r="83" spans="1:10" ht="35.1" customHeight="1" x14ac:dyDescent="0.25">
      <c r="A83" s="14"/>
      <c r="B83" s="16"/>
      <c r="C83" s="16"/>
      <c r="D83" s="16"/>
      <c r="E83" s="16"/>
      <c r="F83" s="16" t="str">
        <f>IF($A83&lt;&gt;"",IF($F73="","DIRETO",""),"")</f>
        <v/>
      </c>
      <c r="G83" s="16" t="str">
        <f t="shared" ref="G83:G84" si="10">IF(F83="DIRETO","-","")</f>
        <v/>
      </c>
      <c r="H83" s="16"/>
    </row>
    <row r="84" spans="1:10" ht="35.1" customHeight="1" x14ac:dyDescent="0.25">
      <c r="A84" s="14"/>
      <c r="B84" s="16"/>
      <c r="C84" s="16"/>
      <c r="D84" s="16"/>
      <c r="E84" s="16"/>
      <c r="F84" s="16" t="str">
        <f>IF($A84&lt;&gt;"",IF($F73="","DIRETO",""),"")</f>
        <v/>
      </c>
      <c r="G84" s="16" t="str">
        <f t="shared" si="10"/>
        <v/>
      </c>
      <c r="H84" s="16"/>
    </row>
    <row r="85" spans="1:10" ht="35.1" customHeight="1" x14ac:dyDescent="0.25">
      <c r="A85" s="13">
        <v>46036</v>
      </c>
      <c r="B85" s="33" t="s">
        <v>30</v>
      </c>
      <c r="C85" s="34"/>
      <c r="D85" s="34"/>
      <c r="E85" s="34"/>
      <c r="F85" s="35"/>
      <c r="G85" s="5">
        <v>330</v>
      </c>
      <c r="H85" s="5" t="str">
        <f>VLOOKUP(G85,Apoio!A$1:B110,2,0)</f>
        <v>LASER 6KW</v>
      </c>
    </row>
    <row r="86" spans="1:10" ht="35.1" customHeight="1" x14ac:dyDescent="0.25">
      <c r="A86" s="11"/>
      <c r="B86" s="6" t="s">
        <v>19</v>
      </c>
      <c r="C86" s="12"/>
      <c r="D86" s="30" t="s">
        <v>4</v>
      </c>
      <c r="E86" s="31"/>
      <c r="F86" s="31"/>
      <c r="G86" s="31"/>
      <c r="H86" s="32"/>
    </row>
    <row r="87" spans="1:10" ht="35.1" customHeight="1" x14ac:dyDescent="0.25">
      <c r="A87" s="3" t="s">
        <v>0</v>
      </c>
      <c r="B87" s="3" t="s">
        <v>2</v>
      </c>
      <c r="C87" s="3" t="s">
        <v>1</v>
      </c>
      <c r="D87" s="3" t="str">
        <f>IFERROR(VLOOKUP(G85,Apoio!F$1:G$43,2,0),"")</f>
        <v>LASER 6KW</v>
      </c>
      <c r="E87" s="4" t="s">
        <v>5</v>
      </c>
      <c r="F87" s="3" t="str">
        <f>IFERROR(VLOOKUP(G85,Apoio!H$1:I$44,2,0),"")</f>
        <v/>
      </c>
      <c r="G87" s="4" t="s">
        <v>5</v>
      </c>
      <c r="H87" s="4" t="s">
        <v>6</v>
      </c>
    </row>
    <row r="88" spans="1:10" ht="35.1" customHeight="1" x14ac:dyDescent="0.25">
      <c r="A88" s="14">
        <v>7448303</v>
      </c>
      <c r="B88" s="15">
        <v>30300109</v>
      </c>
      <c r="C88" s="16">
        <v>14</v>
      </c>
      <c r="D88" s="16" t="s">
        <v>95</v>
      </c>
      <c r="E88" s="29">
        <v>46049</v>
      </c>
      <c r="F88" s="16" t="str">
        <f>IF($A88&lt;&gt;"",IF($F87="","DIRETO",""),"")</f>
        <v>DIRETO</v>
      </c>
      <c r="G88" s="16" t="str">
        <f>IF(F88="DIRETO","-","")</f>
        <v>-</v>
      </c>
      <c r="H88" s="16" t="s">
        <v>96</v>
      </c>
    </row>
    <row r="89" spans="1:10" ht="35.1" customHeight="1" x14ac:dyDescent="0.25">
      <c r="A89" s="14">
        <v>7448304</v>
      </c>
      <c r="B89" s="15">
        <v>30500097</v>
      </c>
      <c r="C89" s="16">
        <v>14</v>
      </c>
      <c r="D89" s="16" t="s">
        <v>95</v>
      </c>
      <c r="E89" s="29">
        <v>46049</v>
      </c>
      <c r="F89" s="16" t="str">
        <f>IF($A89&lt;&gt;"",IF($F87="","DIRETO",""),"")</f>
        <v>DIRETO</v>
      </c>
      <c r="G89" s="16" t="str">
        <f t="shared" ref="G89:G98" si="11">IF(F89="DIRETO","-","")</f>
        <v>-</v>
      </c>
      <c r="H89" s="16" t="s">
        <v>96</v>
      </c>
    </row>
    <row r="90" spans="1:10" ht="35.1" customHeight="1" x14ac:dyDescent="0.25">
      <c r="A90" s="14">
        <v>7448305</v>
      </c>
      <c r="B90" s="15">
        <v>30500128</v>
      </c>
      <c r="C90" s="16">
        <v>14</v>
      </c>
      <c r="D90" s="16" t="s">
        <v>95</v>
      </c>
      <c r="E90" s="29">
        <v>46044</v>
      </c>
      <c r="F90" s="16" t="str">
        <f>IF($A90&lt;&gt;"",IF($F87="","DIRETO",""),"")</f>
        <v>DIRETO</v>
      </c>
      <c r="G90" s="16" t="str">
        <f t="shared" si="11"/>
        <v>-</v>
      </c>
      <c r="H90" s="16" t="s">
        <v>96</v>
      </c>
      <c r="J90" s="5" t="str">
        <f>VLOOKUP(G85,Apoio!A$1:B110,2,0)</f>
        <v>LASER 6KW</v>
      </c>
    </row>
    <row r="91" spans="1:10" ht="35.1" customHeight="1" x14ac:dyDescent="0.25">
      <c r="A91" s="14">
        <v>7448306</v>
      </c>
      <c r="B91" s="15">
        <v>30500161</v>
      </c>
      <c r="C91" s="16">
        <v>7</v>
      </c>
      <c r="D91" s="16" t="s">
        <v>95</v>
      </c>
      <c r="E91" s="29">
        <v>46049</v>
      </c>
      <c r="F91" s="16" t="str">
        <f>IF($A91&lt;&gt;"",IF($F87="","DIRETO",""),"")</f>
        <v>DIRETO</v>
      </c>
      <c r="G91" s="16" t="str">
        <f t="shared" si="11"/>
        <v>-</v>
      </c>
      <c r="H91" s="16" t="s">
        <v>96</v>
      </c>
      <c r="J91" s="18" t="s">
        <v>21</v>
      </c>
    </row>
    <row r="92" spans="1:10" ht="35.1" customHeight="1" x14ac:dyDescent="0.25">
      <c r="A92" s="14">
        <v>7448307</v>
      </c>
      <c r="B92" s="16">
        <v>30500443</v>
      </c>
      <c r="C92" s="16">
        <v>82</v>
      </c>
      <c r="D92" s="16" t="s">
        <v>95</v>
      </c>
      <c r="E92" s="29">
        <v>46042</v>
      </c>
      <c r="F92" s="16" t="str">
        <f>IF($A92&lt;&gt;"",IF($F87="","DIRETO",""),"")</f>
        <v>DIRETO</v>
      </c>
      <c r="G92" s="16" t="str">
        <f t="shared" si="11"/>
        <v>-</v>
      </c>
      <c r="H92" s="16" t="s">
        <v>96</v>
      </c>
      <c r="J92" s="19">
        <f>COUNTIF(A88:A140,"&gt;7000000")</f>
        <v>44</v>
      </c>
    </row>
    <row r="93" spans="1:10" ht="35.1" customHeight="1" x14ac:dyDescent="0.25">
      <c r="A93" s="14">
        <v>7448308</v>
      </c>
      <c r="B93" s="16">
        <v>30500450</v>
      </c>
      <c r="C93" s="16">
        <v>14</v>
      </c>
      <c r="D93" s="16" t="s">
        <v>95</v>
      </c>
      <c r="E93" s="29">
        <v>46044</v>
      </c>
      <c r="F93" s="16" t="str">
        <f>IF($A93&lt;&gt;"",IF($F87="","DIRETO",""),"")</f>
        <v>DIRETO</v>
      </c>
      <c r="G93" s="16" t="str">
        <f t="shared" si="11"/>
        <v>-</v>
      </c>
      <c r="H93" s="16" t="s">
        <v>96</v>
      </c>
      <c r="J93" s="20" t="s">
        <v>22</v>
      </c>
    </row>
    <row r="94" spans="1:10" ht="35.1" customHeight="1" x14ac:dyDescent="0.25">
      <c r="A94" s="14">
        <v>7448309</v>
      </c>
      <c r="B94" s="16" t="s">
        <v>40</v>
      </c>
      <c r="C94" s="16">
        <v>18</v>
      </c>
      <c r="D94" s="16" t="s">
        <v>95</v>
      </c>
      <c r="E94" s="29">
        <v>46044</v>
      </c>
      <c r="F94" s="16" t="str">
        <f>IF($A94&lt;&gt;"",IF($F87="","DIRETO",""),"")</f>
        <v>DIRETO</v>
      </c>
      <c r="G94" s="16" t="str">
        <f t="shared" si="11"/>
        <v>-</v>
      </c>
      <c r="H94" s="16" t="s">
        <v>96</v>
      </c>
      <c r="J94" s="21">
        <f>COUNTIF(H88:H140,"ok*")</f>
        <v>42</v>
      </c>
    </row>
    <row r="95" spans="1:10" ht="35.1" customHeight="1" x14ac:dyDescent="0.25">
      <c r="A95" s="14">
        <v>7448310</v>
      </c>
      <c r="B95" s="16">
        <v>30500463</v>
      </c>
      <c r="C95" s="16">
        <v>7</v>
      </c>
      <c r="D95" s="16" t="s">
        <v>95</v>
      </c>
      <c r="E95" s="29">
        <v>46044</v>
      </c>
      <c r="F95" s="16" t="str">
        <f>IF($A95&lt;&gt;"",IF($F87="","DIRETO",""),"")</f>
        <v>DIRETO</v>
      </c>
      <c r="G95" s="16" t="str">
        <f t="shared" si="11"/>
        <v>-</v>
      </c>
      <c r="H95" s="16" t="s">
        <v>96</v>
      </c>
      <c r="J95" s="22" t="s">
        <v>23</v>
      </c>
    </row>
    <row r="96" spans="1:10" ht="35.1" customHeight="1" x14ac:dyDescent="0.25">
      <c r="A96" s="14">
        <v>7448311</v>
      </c>
      <c r="B96" s="16">
        <v>30500464</v>
      </c>
      <c r="C96" s="16">
        <v>10</v>
      </c>
      <c r="D96" s="16" t="s">
        <v>95</v>
      </c>
      <c r="E96" s="29">
        <v>46044</v>
      </c>
      <c r="F96" s="16" t="str">
        <f>IF($A96&lt;&gt;"",IF($F87="","DIRETO",""),"")</f>
        <v>DIRETO</v>
      </c>
      <c r="G96" s="16" t="str">
        <f t="shared" si="11"/>
        <v>-</v>
      </c>
      <c r="H96" s="16" t="s">
        <v>96</v>
      </c>
      <c r="J96" s="23">
        <f t="shared" ref="J96" si="12">J94/J92</f>
        <v>0.95454545454545459</v>
      </c>
    </row>
    <row r="97" spans="1:10" ht="35.1" customHeight="1" x14ac:dyDescent="0.25">
      <c r="A97" s="14">
        <v>7448312</v>
      </c>
      <c r="B97" s="16" t="s">
        <v>41</v>
      </c>
      <c r="C97" s="16">
        <v>10</v>
      </c>
      <c r="D97" s="16" t="s">
        <v>95</v>
      </c>
      <c r="E97" s="29">
        <v>46044</v>
      </c>
      <c r="F97" s="16" t="str">
        <f>IF($A97&lt;&gt;"",IF($F87="","DIRETO",""),"")</f>
        <v>DIRETO</v>
      </c>
      <c r="G97" s="16" t="str">
        <f t="shared" si="11"/>
        <v>-</v>
      </c>
      <c r="H97" s="16" t="s">
        <v>96</v>
      </c>
    </row>
    <row r="98" spans="1:10" ht="35.1" customHeight="1" x14ac:dyDescent="0.25">
      <c r="A98" s="14">
        <v>7448313</v>
      </c>
      <c r="B98" s="16">
        <v>30500469</v>
      </c>
      <c r="C98" s="16">
        <v>4</v>
      </c>
      <c r="D98" s="16" t="s">
        <v>95</v>
      </c>
      <c r="E98" s="29">
        <v>46044</v>
      </c>
      <c r="F98" s="16" t="str">
        <f>IF($A98&lt;&gt;"",IF($F87="","DIRETO",""),"")</f>
        <v>DIRETO</v>
      </c>
      <c r="G98" s="16" t="str">
        <f t="shared" si="11"/>
        <v>-</v>
      </c>
      <c r="H98" s="16" t="s">
        <v>96</v>
      </c>
    </row>
    <row r="99" spans="1:10" ht="35.1" customHeight="1" x14ac:dyDescent="0.25">
      <c r="A99" s="13">
        <v>46036</v>
      </c>
      <c r="B99" s="33" t="s">
        <v>30</v>
      </c>
      <c r="C99" s="34"/>
      <c r="D99" s="34"/>
      <c r="E99" s="34"/>
      <c r="F99" s="35"/>
      <c r="G99" s="5">
        <v>330</v>
      </c>
      <c r="H99" s="5" t="str">
        <f>VLOOKUP(G99,Apoio!A$1:B124,2,0)</f>
        <v>LASER 6KW</v>
      </c>
    </row>
    <row r="100" spans="1:10" ht="35.1" customHeight="1" x14ac:dyDescent="0.25">
      <c r="A100" s="11"/>
      <c r="B100" s="6" t="s">
        <v>19</v>
      </c>
      <c r="C100" s="12"/>
      <c r="D100" s="30" t="s">
        <v>4</v>
      </c>
      <c r="E100" s="31"/>
      <c r="F100" s="31"/>
      <c r="G100" s="31"/>
      <c r="H100" s="32"/>
    </row>
    <row r="101" spans="1:10" ht="35.1" customHeight="1" x14ac:dyDescent="0.25">
      <c r="A101" s="3" t="s">
        <v>0</v>
      </c>
      <c r="B101" s="3" t="s">
        <v>2</v>
      </c>
      <c r="C101" s="3" t="s">
        <v>1</v>
      </c>
      <c r="D101" s="3" t="str">
        <f>IFERROR(VLOOKUP(G99,Apoio!F$1:G$43,2,0),"")</f>
        <v>LASER 6KW</v>
      </c>
      <c r="E101" s="4" t="s">
        <v>5</v>
      </c>
      <c r="F101" s="3" t="str">
        <f>IFERROR(VLOOKUP(G99,Apoio!H$1:I$44,2,0),"")</f>
        <v/>
      </c>
      <c r="G101" s="4" t="s">
        <v>5</v>
      </c>
      <c r="H101" s="4" t="s">
        <v>6</v>
      </c>
    </row>
    <row r="102" spans="1:10" ht="35.1" customHeight="1" x14ac:dyDescent="0.25">
      <c r="A102" s="14">
        <v>7448314</v>
      </c>
      <c r="B102" s="15" t="s">
        <v>42</v>
      </c>
      <c r="C102" s="16">
        <v>4</v>
      </c>
      <c r="D102" s="16" t="s">
        <v>95</v>
      </c>
      <c r="E102" s="29">
        <v>46044</v>
      </c>
      <c r="F102" s="16" t="str">
        <f>IF($A102&lt;&gt;"",IF($F101="","DIRETO",""),"")</f>
        <v>DIRETO</v>
      </c>
      <c r="G102" s="16" t="str">
        <f>IF(F102="DIRETO","-","")</f>
        <v>-</v>
      </c>
      <c r="H102" s="16" t="s">
        <v>96</v>
      </c>
    </row>
    <row r="103" spans="1:10" ht="35.1" customHeight="1" x14ac:dyDescent="0.25">
      <c r="A103" s="14">
        <v>7448315</v>
      </c>
      <c r="B103" s="15" t="s">
        <v>43</v>
      </c>
      <c r="C103" s="16">
        <v>10</v>
      </c>
      <c r="D103" s="16" t="s">
        <v>95</v>
      </c>
      <c r="E103" s="29">
        <v>46044</v>
      </c>
      <c r="F103" s="16" t="str">
        <f>IF($A103&lt;&gt;"",IF($F101="","DIRETO",""),"")</f>
        <v>DIRETO</v>
      </c>
      <c r="G103" s="16" t="str">
        <f t="shared" ref="G103:G112" si="13">IF(F103="DIRETO","-","")</f>
        <v>-</v>
      </c>
      <c r="H103" s="16" t="s">
        <v>96</v>
      </c>
    </row>
    <row r="104" spans="1:10" ht="35.1" customHeight="1" x14ac:dyDescent="0.25">
      <c r="A104" s="14">
        <v>7448316</v>
      </c>
      <c r="B104" s="15" t="s">
        <v>44</v>
      </c>
      <c r="C104" s="16">
        <v>4</v>
      </c>
      <c r="D104" s="16" t="s">
        <v>95</v>
      </c>
      <c r="E104" s="29">
        <v>46044</v>
      </c>
      <c r="F104" s="16" t="str">
        <f>IF($A104&lt;&gt;"",IF($F101="","DIRETO",""),"")</f>
        <v>DIRETO</v>
      </c>
      <c r="G104" s="16" t="str">
        <f t="shared" si="13"/>
        <v>-</v>
      </c>
      <c r="H104" s="16" t="s">
        <v>96</v>
      </c>
      <c r="J104" s="10"/>
    </row>
    <row r="105" spans="1:10" ht="35.1" customHeight="1" x14ac:dyDescent="0.25">
      <c r="A105" s="14">
        <v>7448317</v>
      </c>
      <c r="B105" s="15">
        <v>30500485</v>
      </c>
      <c r="C105" s="16">
        <v>10</v>
      </c>
      <c r="D105" s="16" t="s">
        <v>95</v>
      </c>
      <c r="E105" s="29">
        <v>46044</v>
      </c>
      <c r="F105" s="16" t="str">
        <f>IF($A105&lt;&gt;"",IF($F101="","DIRETO",""),"")</f>
        <v>DIRETO</v>
      </c>
      <c r="G105" s="16" t="str">
        <f t="shared" si="13"/>
        <v>-</v>
      </c>
      <c r="H105" s="16" t="s">
        <v>96</v>
      </c>
      <c r="J105" s="10"/>
    </row>
    <row r="106" spans="1:10" ht="35.1" customHeight="1" x14ac:dyDescent="0.25">
      <c r="A106" s="14">
        <v>7448318</v>
      </c>
      <c r="B106" s="16" t="s">
        <v>45</v>
      </c>
      <c r="C106" s="16">
        <v>14</v>
      </c>
      <c r="D106" s="16" t="s">
        <v>95</v>
      </c>
      <c r="E106" s="29">
        <v>46043</v>
      </c>
      <c r="F106" s="16" t="str">
        <f>IF($A106&lt;&gt;"",IF($F101="","DIRETO",""),"")</f>
        <v>DIRETO</v>
      </c>
      <c r="G106" s="16" t="str">
        <f t="shared" si="13"/>
        <v>-</v>
      </c>
      <c r="H106" s="16" t="s">
        <v>96</v>
      </c>
      <c r="J106" s="10"/>
    </row>
    <row r="107" spans="1:10" ht="35.1" customHeight="1" x14ac:dyDescent="0.25">
      <c r="A107" s="14">
        <v>7448319</v>
      </c>
      <c r="B107" s="16" t="s">
        <v>46</v>
      </c>
      <c r="C107" s="16">
        <v>14</v>
      </c>
      <c r="D107" s="16" t="s">
        <v>95</v>
      </c>
      <c r="E107" s="29">
        <v>46044</v>
      </c>
      <c r="F107" s="16" t="str">
        <f>IF($A107&lt;&gt;"",IF($F101="","DIRETO",""),"")</f>
        <v>DIRETO</v>
      </c>
      <c r="G107" s="16" t="str">
        <f t="shared" si="13"/>
        <v>-</v>
      </c>
      <c r="H107" s="16" t="s">
        <v>96</v>
      </c>
      <c r="J107" s="10"/>
    </row>
    <row r="108" spans="1:10" ht="35.1" customHeight="1" x14ac:dyDescent="0.25">
      <c r="A108" s="14">
        <v>7448320</v>
      </c>
      <c r="B108" s="16">
        <v>30500487</v>
      </c>
      <c r="C108" s="16">
        <v>28</v>
      </c>
      <c r="D108" s="16" t="s">
        <v>95</v>
      </c>
      <c r="E108" s="29">
        <v>46049</v>
      </c>
      <c r="F108" s="16" t="str">
        <f>IF($A108&lt;&gt;"",IF($F101="","DIRETO",""),"")</f>
        <v>DIRETO</v>
      </c>
      <c r="G108" s="16" t="str">
        <f t="shared" si="13"/>
        <v>-</v>
      </c>
      <c r="H108" s="16" t="s">
        <v>96</v>
      </c>
      <c r="J108" s="10"/>
    </row>
    <row r="109" spans="1:10" ht="35.1" customHeight="1" x14ac:dyDescent="0.25">
      <c r="A109" s="14">
        <v>7448321</v>
      </c>
      <c r="B109" s="16" t="s">
        <v>47</v>
      </c>
      <c r="C109" s="16">
        <v>21</v>
      </c>
      <c r="D109" s="16" t="s">
        <v>95</v>
      </c>
      <c r="E109" s="29">
        <v>46049</v>
      </c>
      <c r="F109" s="16" t="str">
        <f>IF($A109&lt;&gt;"",IF($F101="","DIRETO",""),"")</f>
        <v>DIRETO</v>
      </c>
      <c r="G109" s="16" t="str">
        <f t="shared" si="13"/>
        <v>-</v>
      </c>
      <c r="H109" s="16" t="s">
        <v>96</v>
      </c>
      <c r="J109" s="10"/>
    </row>
    <row r="110" spans="1:10" ht="35.1" customHeight="1" x14ac:dyDescent="0.25">
      <c r="A110" s="14">
        <v>7448322</v>
      </c>
      <c r="B110" s="16" t="s">
        <v>48</v>
      </c>
      <c r="C110" s="16">
        <v>7</v>
      </c>
      <c r="D110" s="16" t="s">
        <v>95</v>
      </c>
      <c r="E110" s="29">
        <v>46049</v>
      </c>
      <c r="F110" s="16" t="str">
        <f>IF($A110&lt;&gt;"",IF($F101="","DIRETO",""),"")</f>
        <v>DIRETO</v>
      </c>
      <c r="G110" s="16" t="str">
        <f t="shared" si="13"/>
        <v>-</v>
      </c>
      <c r="H110" s="16" t="s">
        <v>96</v>
      </c>
      <c r="J110" s="10"/>
    </row>
    <row r="111" spans="1:10" ht="35.1" customHeight="1" x14ac:dyDescent="0.25">
      <c r="A111" s="14">
        <v>7448323</v>
      </c>
      <c r="B111" s="16">
        <v>30500510</v>
      </c>
      <c r="C111" s="16">
        <v>14</v>
      </c>
      <c r="D111" s="16" t="s">
        <v>95</v>
      </c>
      <c r="E111" s="29">
        <v>46057</v>
      </c>
      <c r="F111" s="16" t="str">
        <f>IF($A111&lt;&gt;"",IF($F101="","DIRETO",""),"")</f>
        <v>DIRETO</v>
      </c>
      <c r="G111" s="16" t="str">
        <f t="shared" si="13"/>
        <v>-</v>
      </c>
      <c r="H111" s="16" t="s">
        <v>96</v>
      </c>
    </row>
    <row r="112" spans="1:10" ht="35.1" customHeight="1" x14ac:dyDescent="0.25">
      <c r="A112" s="14">
        <v>7448324</v>
      </c>
      <c r="B112" s="16">
        <v>30500511</v>
      </c>
      <c r="C112" s="16">
        <v>7</v>
      </c>
      <c r="D112" s="16" t="s">
        <v>95</v>
      </c>
      <c r="E112" s="29">
        <v>46044</v>
      </c>
      <c r="F112" s="16" t="str">
        <f>IF($A112&lt;&gt;"",IF($F101="","DIRETO",""),"")</f>
        <v>DIRETO</v>
      </c>
      <c r="G112" s="16" t="str">
        <f t="shared" si="13"/>
        <v>-</v>
      </c>
      <c r="H112" s="16" t="s">
        <v>96</v>
      </c>
    </row>
    <row r="113" spans="1:10" ht="35.1" customHeight="1" x14ac:dyDescent="0.25">
      <c r="A113" s="13">
        <v>46036</v>
      </c>
      <c r="B113" s="33" t="s">
        <v>30</v>
      </c>
      <c r="C113" s="34"/>
      <c r="D113" s="34"/>
      <c r="E113" s="34"/>
      <c r="F113" s="35"/>
      <c r="G113" s="5">
        <v>330</v>
      </c>
      <c r="H113" s="5" t="str">
        <f>VLOOKUP(G113,Apoio!A$1:B138,2,0)</f>
        <v>LASER 6KW</v>
      </c>
    </row>
    <row r="114" spans="1:10" ht="35.1" customHeight="1" x14ac:dyDescent="0.25">
      <c r="A114" s="11"/>
      <c r="B114" s="6" t="s">
        <v>19</v>
      </c>
      <c r="C114" s="12"/>
      <c r="D114" s="30" t="s">
        <v>4</v>
      </c>
      <c r="E114" s="31"/>
      <c r="F114" s="31"/>
      <c r="G114" s="31"/>
      <c r="H114" s="32"/>
    </row>
    <row r="115" spans="1:10" ht="35.1" customHeight="1" x14ac:dyDescent="0.25">
      <c r="A115" s="3" t="s">
        <v>0</v>
      </c>
      <c r="B115" s="3" t="s">
        <v>2</v>
      </c>
      <c r="C115" s="3" t="s">
        <v>1</v>
      </c>
      <c r="D115" s="3" t="str">
        <f>IFERROR(VLOOKUP(G113,Apoio!F$1:G$43,2,0),"")</f>
        <v>LASER 6KW</v>
      </c>
      <c r="E115" s="4" t="s">
        <v>5</v>
      </c>
      <c r="F115" s="3" t="str">
        <f>IFERROR(VLOOKUP(G113,Apoio!H$1:I$44,2,0),"")</f>
        <v/>
      </c>
      <c r="G115" s="4" t="s">
        <v>5</v>
      </c>
      <c r="H115" s="4" t="s">
        <v>6</v>
      </c>
    </row>
    <row r="116" spans="1:10" ht="35.1" customHeight="1" x14ac:dyDescent="0.25">
      <c r="A116" s="14">
        <v>7448325</v>
      </c>
      <c r="B116" s="15">
        <v>30500516</v>
      </c>
      <c r="C116" s="16">
        <v>14</v>
      </c>
      <c r="D116" s="16" t="s">
        <v>95</v>
      </c>
      <c r="E116" s="29">
        <v>46044</v>
      </c>
      <c r="F116" s="16" t="str">
        <f>IF($A116&lt;&gt;"",IF($F115="","DIRETO",""),"")</f>
        <v>DIRETO</v>
      </c>
      <c r="G116" s="16" t="str">
        <f>IF(F116="DIRETO","-","")</f>
        <v>-</v>
      </c>
      <c r="H116" s="16" t="s">
        <v>96</v>
      </c>
    </row>
    <row r="117" spans="1:10" ht="35.1" customHeight="1" x14ac:dyDescent="0.25">
      <c r="A117" s="14">
        <v>7448326</v>
      </c>
      <c r="B117" s="15" t="s">
        <v>49</v>
      </c>
      <c r="C117" s="16">
        <v>7</v>
      </c>
      <c r="D117" s="16" t="s">
        <v>95</v>
      </c>
      <c r="E117" s="29">
        <v>46044</v>
      </c>
      <c r="F117" s="16" t="str">
        <f>IF($A117&lt;&gt;"",IF($F115="","DIRETO",""),"")</f>
        <v>DIRETO</v>
      </c>
      <c r="G117" s="16" t="str">
        <f t="shared" ref="G117:G126" si="14">IF(F117="DIRETO","-","")</f>
        <v>-</v>
      </c>
      <c r="H117" s="16" t="s">
        <v>96</v>
      </c>
    </row>
    <row r="118" spans="1:10" ht="35.1" customHeight="1" x14ac:dyDescent="0.25">
      <c r="A118" s="14">
        <v>7448327</v>
      </c>
      <c r="B118" s="15">
        <v>30500527</v>
      </c>
      <c r="C118" s="16">
        <v>14</v>
      </c>
      <c r="D118" s="16" t="s">
        <v>95</v>
      </c>
      <c r="E118" s="29">
        <v>46049</v>
      </c>
      <c r="F118" s="16" t="str">
        <f>IF($A118&lt;&gt;"",IF($F115="","DIRETO",""),"")</f>
        <v>DIRETO</v>
      </c>
      <c r="G118" s="16" t="str">
        <f t="shared" si="14"/>
        <v>-</v>
      </c>
      <c r="H118" s="16" t="s">
        <v>96</v>
      </c>
      <c r="J118" s="10"/>
    </row>
    <row r="119" spans="1:10" ht="35.1" customHeight="1" x14ac:dyDescent="0.25">
      <c r="A119" s="14">
        <v>7448328</v>
      </c>
      <c r="B119" s="15">
        <v>30500528</v>
      </c>
      <c r="C119" s="16">
        <v>14</v>
      </c>
      <c r="D119" s="16" t="s">
        <v>95</v>
      </c>
      <c r="E119" s="29">
        <v>46049</v>
      </c>
      <c r="F119" s="16" t="str">
        <f>IF($A119&lt;&gt;"",IF($F115="","DIRETO",""),"")</f>
        <v>DIRETO</v>
      </c>
      <c r="G119" s="16" t="str">
        <f t="shared" si="14"/>
        <v>-</v>
      </c>
      <c r="H119" s="16" t="s">
        <v>96</v>
      </c>
      <c r="J119" s="10"/>
    </row>
    <row r="120" spans="1:10" ht="35.1" customHeight="1" x14ac:dyDescent="0.25">
      <c r="A120" s="14">
        <v>7448329</v>
      </c>
      <c r="B120" s="16" t="s">
        <v>50</v>
      </c>
      <c r="C120" s="16">
        <v>14</v>
      </c>
      <c r="D120" s="16" t="s">
        <v>95</v>
      </c>
      <c r="E120" s="29">
        <v>46042</v>
      </c>
      <c r="F120" s="16" t="str">
        <f>IF($A120&lt;&gt;"",IF($F115="","DIRETO",""),"")</f>
        <v>DIRETO</v>
      </c>
      <c r="G120" s="16" t="str">
        <f t="shared" si="14"/>
        <v>-</v>
      </c>
      <c r="H120" s="16" t="s">
        <v>96</v>
      </c>
      <c r="J120" s="10"/>
    </row>
    <row r="121" spans="1:10" ht="35.1" customHeight="1" x14ac:dyDescent="0.25">
      <c r="A121" s="14">
        <v>7448330</v>
      </c>
      <c r="B121" s="16">
        <v>30500540</v>
      </c>
      <c r="C121" s="16">
        <v>7</v>
      </c>
      <c r="D121" s="16" t="s">
        <v>95</v>
      </c>
      <c r="E121" s="29">
        <v>46049</v>
      </c>
      <c r="F121" s="16" t="str">
        <f>IF($A121&lt;&gt;"",IF($F115="","DIRETO",""),"")</f>
        <v>DIRETO</v>
      </c>
      <c r="G121" s="16" t="str">
        <f t="shared" si="14"/>
        <v>-</v>
      </c>
      <c r="H121" s="16" t="s">
        <v>96</v>
      </c>
      <c r="J121" s="10"/>
    </row>
    <row r="122" spans="1:10" ht="35.1" customHeight="1" x14ac:dyDescent="0.25">
      <c r="A122" s="14">
        <v>7448331</v>
      </c>
      <c r="B122" s="16">
        <v>30500549</v>
      </c>
      <c r="C122" s="16">
        <v>154</v>
      </c>
      <c r="D122" s="16" t="s">
        <v>95</v>
      </c>
      <c r="E122" s="29">
        <v>46043</v>
      </c>
      <c r="F122" s="16" t="str">
        <f>IF($A122&lt;&gt;"",IF($F115="","DIRETO",""),"")</f>
        <v>DIRETO</v>
      </c>
      <c r="G122" s="16" t="str">
        <f t="shared" si="14"/>
        <v>-</v>
      </c>
      <c r="H122" s="16" t="s">
        <v>96</v>
      </c>
      <c r="J122" s="10"/>
    </row>
    <row r="123" spans="1:10" ht="35.1" customHeight="1" x14ac:dyDescent="0.25">
      <c r="A123" s="14">
        <v>7448332</v>
      </c>
      <c r="B123" s="16">
        <v>30500551</v>
      </c>
      <c r="C123" s="16">
        <v>48</v>
      </c>
      <c r="D123" s="16" t="s">
        <v>95</v>
      </c>
      <c r="E123" s="29">
        <v>46062</v>
      </c>
      <c r="F123" s="16" t="str">
        <f>IF($A123&lt;&gt;"",IF($F115="","DIRETO",""),"")</f>
        <v>DIRETO</v>
      </c>
      <c r="G123" s="16" t="str">
        <f t="shared" si="14"/>
        <v>-</v>
      </c>
      <c r="H123" s="16" t="s">
        <v>96</v>
      </c>
      <c r="J123" s="10"/>
    </row>
    <row r="124" spans="1:10" ht="35.1" customHeight="1" x14ac:dyDescent="0.25">
      <c r="A124" s="14">
        <v>7448333</v>
      </c>
      <c r="B124" s="16">
        <v>30500553</v>
      </c>
      <c r="C124" s="16">
        <v>14</v>
      </c>
      <c r="D124" s="16" t="s">
        <v>95</v>
      </c>
      <c r="E124" s="29">
        <v>46056</v>
      </c>
      <c r="F124" s="16" t="str">
        <f>IF($A124&lt;&gt;"",IF($F115="","DIRETO",""),"")</f>
        <v>DIRETO</v>
      </c>
      <c r="G124" s="16" t="str">
        <f t="shared" si="14"/>
        <v>-</v>
      </c>
      <c r="H124" s="16" t="s">
        <v>96</v>
      </c>
      <c r="J124" s="10"/>
    </row>
    <row r="125" spans="1:10" ht="35.1" customHeight="1" x14ac:dyDescent="0.25">
      <c r="A125" s="14">
        <v>7448334</v>
      </c>
      <c r="B125" s="16">
        <v>30500555</v>
      </c>
      <c r="C125" s="16">
        <v>14</v>
      </c>
      <c r="D125" s="16" t="s">
        <v>95</v>
      </c>
      <c r="E125" s="29">
        <v>46049</v>
      </c>
      <c r="F125" s="16" t="str">
        <f>IF($A125&lt;&gt;"",IF($F115="","DIRETO",""),"")</f>
        <v>DIRETO</v>
      </c>
      <c r="G125" s="16" t="str">
        <f t="shared" si="14"/>
        <v>-</v>
      </c>
      <c r="H125" s="16" t="s">
        <v>96</v>
      </c>
    </row>
    <row r="126" spans="1:10" ht="35.1" customHeight="1" x14ac:dyDescent="0.25">
      <c r="A126" s="14">
        <v>7448335</v>
      </c>
      <c r="B126" s="16">
        <v>30500556</v>
      </c>
      <c r="C126" s="16">
        <v>14</v>
      </c>
      <c r="D126" s="16" t="s">
        <v>95</v>
      </c>
      <c r="E126" s="29">
        <v>46044</v>
      </c>
      <c r="F126" s="16" t="str">
        <f>IF($A126&lt;&gt;"",IF($F115="","DIRETO",""),"")</f>
        <v>DIRETO</v>
      </c>
      <c r="G126" s="16" t="str">
        <f t="shared" si="14"/>
        <v>-</v>
      </c>
      <c r="H126" s="16" t="s">
        <v>96</v>
      </c>
    </row>
    <row r="127" spans="1:10" ht="35.1" customHeight="1" x14ac:dyDescent="0.25">
      <c r="A127" s="13">
        <v>46036</v>
      </c>
      <c r="B127" s="33" t="s">
        <v>30</v>
      </c>
      <c r="C127" s="34"/>
      <c r="D127" s="34"/>
      <c r="E127" s="34"/>
      <c r="F127" s="35"/>
      <c r="G127" s="5">
        <v>330</v>
      </c>
      <c r="H127" s="5" t="str">
        <f>VLOOKUP(G127,Apoio!A$1:B152,2,0)</f>
        <v>LASER 6KW</v>
      </c>
    </row>
    <row r="128" spans="1:10" ht="35.1" customHeight="1" x14ac:dyDescent="0.25">
      <c r="A128" s="11"/>
      <c r="B128" s="6" t="s">
        <v>19</v>
      </c>
      <c r="C128" s="12"/>
      <c r="D128" s="30" t="s">
        <v>4</v>
      </c>
      <c r="E128" s="31"/>
      <c r="F128" s="31"/>
      <c r="G128" s="31"/>
      <c r="H128" s="32"/>
    </row>
    <row r="129" spans="1:10" ht="35.1" customHeight="1" x14ac:dyDescent="0.25">
      <c r="A129" s="3" t="s">
        <v>0</v>
      </c>
      <c r="B129" s="3" t="s">
        <v>2</v>
      </c>
      <c r="C129" s="3" t="s">
        <v>1</v>
      </c>
      <c r="D129" s="3" t="str">
        <f>IFERROR(VLOOKUP(G127,Apoio!F$1:G$43,2,0),"")</f>
        <v>LASER 6KW</v>
      </c>
      <c r="E129" s="4" t="s">
        <v>5</v>
      </c>
      <c r="F129" s="3" t="str">
        <f>IFERROR(VLOOKUP(G127,Apoio!H$1:I$44,2,0),"")</f>
        <v/>
      </c>
      <c r="G129" s="4" t="s">
        <v>5</v>
      </c>
      <c r="H129" s="4" t="s">
        <v>6</v>
      </c>
    </row>
    <row r="130" spans="1:10" ht="35.1" customHeight="1" x14ac:dyDescent="0.25">
      <c r="A130" s="14">
        <v>7448336</v>
      </c>
      <c r="B130" s="15">
        <v>30500557</v>
      </c>
      <c r="C130" s="16">
        <v>14</v>
      </c>
      <c r="D130" s="16" t="s">
        <v>95</v>
      </c>
      <c r="E130" s="29">
        <v>46042</v>
      </c>
      <c r="F130" s="16" t="str">
        <f>IF($A130&lt;&gt;"",IF($F129="","DIRETO",""),"")</f>
        <v>DIRETO</v>
      </c>
      <c r="G130" s="16" t="str">
        <f>IF(F130="DIRETO","-","")</f>
        <v>-</v>
      </c>
      <c r="H130" s="16" t="s">
        <v>96</v>
      </c>
    </row>
    <row r="131" spans="1:10" ht="35.1" customHeight="1" x14ac:dyDescent="0.25">
      <c r="A131" s="14">
        <v>7448337</v>
      </c>
      <c r="B131" s="15">
        <v>30500962</v>
      </c>
      <c r="C131" s="16">
        <v>14</v>
      </c>
      <c r="D131" s="16" t="s">
        <v>95</v>
      </c>
      <c r="E131" s="29">
        <v>46042</v>
      </c>
      <c r="F131" s="16" t="str">
        <f>IF($A131&lt;&gt;"",IF($F129="","DIRETO",""),"")</f>
        <v>DIRETO</v>
      </c>
      <c r="G131" s="16" t="str">
        <f t="shared" ref="G131:G140" si="15">IF(F131="DIRETO","-","")</f>
        <v>-</v>
      </c>
      <c r="H131" s="16" t="s">
        <v>96</v>
      </c>
    </row>
    <row r="132" spans="1:10" ht="35.1" customHeight="1" x14ac:dyDescent="0.25">
      <c r="A132" s="14">
        <v>7448338</v>
      </c>
      <c r="B132" s="15" t="s">
        <v>51</v>
      </c>
      <c r="C132" s="16">
        <v>15</v>
      </c>
      <c r="D132" s="16" t="s">
        <v>95</v>
      </c>
      <c r="E132" s="29">
        <v>46048</v>
      </c>
      <c r="F132" s="16" t="str">
        <f>IF($A132&lt;&gt;"",IF($F129="","DIRETO",""),"")</f>
        <v>DIRETO</v>
      </c>
      <c r="G132" s="16" t="str">
        <f t="shared" si="15"/>
        <v>-</v>
      </c>
      <c r="H132" s="16" t="s">
        <v>96</v>
      </c>
      <c r="J132" s="10"/>
    </row>
    <row r="133" spans="1:10" ht="35.1" customHeight="1" x14ac:dyDescent="0.25">
      <c r="A133" s="14">
        <v>7448339</v>
      </c>
      <c r="B133" s="15">
        <v>30502251</v>
      </c>
      <c r="C133" s="16">
        <v>72</v>
      </c>
      <c r="D133" s="16"/>
      <c r="E133" s="16"/>
      <c r="F133" s="16" t="str">
        <f>IF($A133&lt;&gt;"",IF($F129="","DIRETO",""),"")</f>
        <v>DIRETO</v>
      </c>
      <c r="G133" s="16" t="str">
        <f t="shared" si="15"/>
        <v>-</v>
      </c>
      <c r="H133" s="16"/>
      <c r="J133" s="10"/>
    </row>
    <row r="134" spans="1:10" ht="35.1" customHeight="1" x14ac:dyDescent="0.25">
      <c r="A134" s="14">
        <v>7448340</v>
      </c>
      <c r="B134" s="16">
        <v>30502303</v>
      </c>
      <c r="C134" s="16">
        <v>4</v>
      </c>
      <c r="D134" s="16" t="s">
        <v>95</v>
      </c>
      <c r="E134" s="29">
        <v>46044</v>
      </c>
      <c r="F134" s="16" t="str">
        <f>IF($A134&lt;&gt;"",IF($F129="","DIRETO",""),"")</f>
        <v>DIRETO</v>
      </c>
      <c r="G134" s="16" t="str">
        <f t="shared" si="15"/>
        <v>-</v>
      </c>
      <c r="H134" s="16" t="s">
        <v>96</v>
      </c>
      <c r="J134" s="10"/>
    </row>
    <row r="135" spans="1:10" ht="35.1" customHeight="1" x14ac:dyDescent="0.25">
      <c r="A135" s="14">
        <v>7448341</v>
      </c>
      <c r="B135" s="16">
        <v>30502319</v>
      </c>
      <c r="C135" s="16">
        <v>8</v>
      </c>
      <c r="D135" s="16" t="s">
        <v>95</v>
      </c>
      <c r="E135" s="29">
        <v>46042</v>
      </c>
      <c r="F135" s="16" t="str">
        <f>IF($A135&lt;&gt;"",IF($F129="","DIRETO",""),"")</f>
        <v>DIRETO</v>
      </c>
      <c r="G135" s="16" t="str">
        <f t="shared" si="15"/>
        <v>-</v>
      </c>
      <c r="H135" s="16" t="s">
        <v>96</v>
      </c>
      <c r="J135" s="10"/>
    </row>
    <row r="136" spans="1:10" ht="35.1" customHeight="1" x14ac:dyDescent="0.25">
      <c r="A136" s="14">
        <v>7448342</v>
      </c>
      <c r="B136" s="16">
        <v>30502320</v>
      </c>
      <c r="C136" s="16">
        <v>20</v>
      </c>
      <c r="D136" s="16" t="s">
        <v>95</v>
      </c>
      <c r="E136" s="29">
        <v>46042</v>
      </c>
      <c r="F136" s="16" t="str">
        <f>IF($A136&lt;&gt;"",IF($F129="","DIRETO",""),"")</f>
        <v>DIRETO</v>
      </c>
      <c r="G136" s="16" t="str">
        <f t="shared" si="15"/>
        <v>-</v>
      </c>
      <c r="H136" s="16" t="s">
        <v>96</v>
      </c>
      <c r="J136" s="10"/>
    </row>
    <row r="137" spans="1:10" ht="35.1" customHeight="1" x14ac:dyDescent="0.25">
      <c r="A137" s="14">
        <v>7448343</v>
      </c>
      <c r="B137" s="16">
        <v>30502329</v>
      </c>
      <c r="C137" s="16">
        <v>4</v>
      </c>
      <c r="D137" s="16" t="s">
        <v>95</v>
      </c>
      <c r="E137" s="29">
        <v>46044</v>
      </c>
      <c r="F137" s="16" t="str">
        <f>IF($A137&lt;&gt;"",IF($F129="","DIRETO",""),"")</f>
        <v>DIRETO</v>
      </c>
      <c r="G137" s="16" t="str">
        <f t="shared" si="15"/>
        <v>-</v>
      </c>
      <c r="H137" s="16" t="s">
        <v>96</v>
      </c>
      <c r="J137" s="10"/>
    </row>
    <row r="138" spans="1:10" ht="35.1" customHeight="1" x14ac:dyDescent="0.25">
      <c r="A138" s="14">
        <v>7448344</v>
      </c>
      <c r="B138" s="16" t="s">
        <v>52</v>
      </c>
      <c r="C138" s="16">
        <v>8</v>
      </c>
      <c r="D138" s="16" t="s">
        <v>95</v>
      </c>
      <c r="E138" s="29">
        <v>46049</v>
      </c>
      <c r="F138" s="16" t="str">
        <f>IF($A138&lt;&gt;"",IF($F129="","DIRETO",""),"")</f>
        <v>DIRETO</v>
      </c>
      <c r="G138" s="16" t="str">
        <f t="shared" si="15"/>
        <v>-</v>
      </c>
      <c r="H138" s="16" t="s">
        <v>96</v>
      </c>
      <c r="J138" s="10"/>
    </row>
    <row r="139" spans="1:10" ht="35.1" customHeight="1" x14ac:dyDescent="0.25">
      <c r="A139" s="14">
        <v>7448345</v>
      </c>
      <c r="B139" s="16">
        <v>30502388</v>
      </c>
      <c r="C139" s="16">
        <v>14</v>
      </c>
      <c r="D139" s="16" t="s">
        <v>95</v>
      </c>
      <c r="E139" s="29">
        <v>46043</v>
      </c>
      <c r="F139" s="16" t="str">
        <f>IF($A139&lt;&gt;"",IF($F129="","DIRETO",""),"")</f>
        <v>DIRETO</v>
      </c>
      <c r="G139" s="16" t="str">
        <f t="shared" si="15"/>
        <v>-</v>
      </c>
      <c r="H139" s="16" t="s">
        <v>96</v>
      </c>
    </row>
    <row r="140" spans="1:10" ht="35.1" customHeight="1" x14ac:dyDescent="0.25">
      <c r="A140" s="14">
        <v>7448346</v>
      </c>
      <c r="B140" s="16" t="s">
        <v>53</v>
      </c>
      <c r="C140" s="16">
        <v>28</v>
      </c>
      <c r="D140" s="16"/>
      <c r="E140" s="16"/>
      <c r="F140" s="16" t="str">
        <f>IF($A140&lt;&gt;"",IF($F129="","DIRETO",""),"")</f>
        <v>DIRETO</v>
      </c>
      <c r="G140" s="16" t="str">
        <f t="shared" si="15"/>
        <v>-</v>
      </c>
      <c r="H140" s="16"/>
    </row>
    <row r="141" spans="1:10" ht="35.1" customHeight="1" x14ac:dyDescent="0.25">
      <c r="A141" s="13">
        <v>46036</v>
      </c>
      <c r="B141" s="33" t="s">
        <v>30</v>
      </c>
      <c r="C141" s="34"/>
      <c r="D141" s="34"/>
      <c r="E141" s="34"/>
      <c r="F141" s="35"/>
      <c r="G141" s="5">
        <v>331</v>
      </c>
      <c r="H141" s="5" t="str">
        <f>VLOOKUP(G141,Apoio!A$1:B166,2,0)</f>
        <v>LASER 6KW/DOBRA</v>
      </c>
    </row>
    <row r="142" spans="1:10" ht="35.1" customHeight="1" x14ac:dyDescent="0.25">
      <c r="A142" s="11"/>
      <c r="B142" s="6" t="s">
        <v>19</v>
      </c>
      <c r="C142" s="12"/>
      <c r="D142" s="30" t="s">
        <v>4</v>
      </c>
      <c r="E142" s="31"/>
      <c r="F142" s="31"/>
      <c r="G142" s="31"/>
      <c r="H142" s="32"/>
    </row>
    <row r="143" spans="1:10" ht="35.1" customHeight="1" x14ac:dyDescent="0.25">
      <c r="A143" s="3" t="s">
        <v>0</v>
      </c>
      <c r="B143" s="3" t="s">
        <v>2</v>
      </c>
      <c r="C143" s="3" t="s">
        <v>1</v>
      </c>
      <c r="D143" s="3" t="str">
        <f>IFERROR(VLOOKUP(G141,Apoio!F$1:G$43,2,0),"")</f>
        <v>LASER 6KW</v>
      </c>
      <c r="E143" s="4" t="s">
        <v>5</v>
      </c>
      <c r="F143" s="3" t="str">
        <f>IFERROR(VLOOKUP(G141,Apoio!H$1:I$44,2,0),"")</f>
        <v>DOBRA</v>
      </c>
      <c r="G143" s="4" t="s">
        <v>5</v>
      </c>
      <c r="H143" s="4" t="s">
        <v>6</v>
      </c>
    </row>
    <row r="144" spans="1:10" ht="35.1" customHeight="1" x14ac:dyDescent="0.25">
      <c r="A144" s="14">
        <v>7448347</v>
      </c>
      <c r="B144" s="15">
        <v>30501270</v>
      </c>
      <c r="C144" s="16">
        <v>14</v>
      </c>
      <c r="D144" s="16" t="s">
        <v>95</v>
      </c>
      <c r="E144" s="29">
        <v>46044</v>
      </c>
      <c r="F144" s="16" t="s">
        <v>101</v>
      </c>
      <c r="G144" s="29">
        <v>46048</v>
      </c>
      <c r="H144" s="16" t="s">
        <v>96</v>
      </c>
    </row>
    <row r="145" spans="1:10" ht="35.1" customHeight="1" x14ac:dyDescent="0.25">
      <c r="A145" s="14">
        <v>7448348</v>
      </c>
      <c r="B145" s="15">
        <v>30501271</v>
      </c>
      <c r="C145" s="16">
        <v>42</v>
      </c>
      <c r="D145" s="16" t="s">
        <v>95</v>
      </c>
      <c r="E145" s="29">
        <v>46044</v>
      </c>
      <c r="F145" s="16" t="s">
        <v>101</v>
      </c>
      <c r="G145" s="29">
        <v>46048</v>
      </c>
      <c r="H145" s="16" t="s">
        <v>96</v>
      </c>
    </row>
    <row r="146" spans="1:10" ht="35.1" customHeight="1" x14ac:dyDescent="0.25">
      <c r="A146" s="14">
        <v>7448349</v>
      </c>
      <c r="B146" s="15" t="s">
        <v>54</v>
      </c>
      <c r="C146" s="16">
        <v>7</v>
      </c>
      <c r="D146" s="16" t="s">
        <v>95</v>
      </c>
      <c r="E146" s="29">
        <v>46049</v>
      </c>
      <c r="F146" s="16" t="s">
        <v>101</v>
      </c>
      <c r="G146" s="29">
        <v>46050</v>
      </c>
      <c r="H146" s="16" t="s">
        <v>96</v>
      </c>
      <c r="J146" s="5" t="str">
        <f>VLOOKUP(G141,Apoio!A$1:B166,2,0)</f>
        <v>LASER 6KW/DOBRA</v>
      </c>
    </row>
    <row r="147" spans="1:10" ht="35.1" customHeight="1" x14ac:dyDescent="0.25">
      <c r="A147" s="14">
        <v>7448350</v>
      </c>
      <c r="B147" s="15">
        <v>30500438</v>
      </c>
      <c r="C147" s="16">
        <v>7</v>
      </c>
      <c r="D147" s="16" t="s">
        <v>95</v>
      </c>
      <c r="E147" s="29">
        <v>46043</v>
      </c>
      <c r="F147" s="16" t="s">
        <v>95</v>
      </c>
      <c r="G147" s="29">
        <v>46043</v>
      </c>
      <c r="H147" s="16" t="s">
        <v>96</v>
      </c>
      <c r="J147" s="18" t="s">
        <v>21</v>
      </c>
    </row>
    <row r="148" spans="1:10" ht="35.1" customHeight="1" x14ac:dyDescent="0.25">
      <c r="A148" s="14">
        <v>7448351</v>
      </c>
      <c r="B148" s="16">
        <v>30500444</v>
      </c>
      <c r="C148" s="16">
        <v>7</v>
      </c>
      <c r="D148" s="16" t="s">
        <v>95</v>
      </c>
      <c r="E148" s="29">
        <v>46044</v>
      </c>
      <c r="F148" s="16" t="s">
        <v>95</v>
      </c>
      <c r="G148" s="29">
        <v>46045</v>
      </c>
      <c r="H148" s="16" t="s">
        <v>96</v>
      </c>
      <c r="J148" s="19">
        <f>COUNTIF(A144:A210,"&gt;7000000")</f>
        <v>48</v>
      </c>
    </row>
    <row r="149" spans="1:10" ht="35.1" customHeight="1" x14ac:dyDescent="0.25">
      <c r="A149" s="14">
        <v>7448352</v>
      </c>
      <c r="B149" s="16">
        <v>30500445</v>
      </c>
      <c r="C149" s="16">
        <v>7</v>
      </c>
      <c r="D149" s="16" t="s">
        <v>95</v>
      </c>
      <c r="E149" s="29">
        <v>46044</v>
      </c>
      <c r="F149" s="16" t="s">
        <v>95</v>
      </c>
      <c r="G149" s="29">
        <v>46045</v>
      </c>
      <c r="H149" s="16" t="s">
        <v>96</v>
      </c>
      <c r="J149" s="20" t="s">
        <v>22</v>
      </c>
    </row>
    <row r="150" spans="1:10" ht="35.1" customHeight="1" x14ac:dyDescent="0.25">
      <c r="A150" s="14">
        <v>7448353</v>
      </c>
      <c r="B150" s="16" t="s">
        <v>55</v>
      </c>
      <c r="C150" s="16">
        <v>15</v>
      </c>
      <c r="D150" s="16"/>
      <c r="E150" s="16"/>
      <c r="F150" s="16" t="str">
        <f>IF($A150&lt;&gt;"",IF($F143="","DIRETO",""),"")</f>
        <v/>
      </c>
      <c r="G150" s="16" t="str">
        <f t="shared" ref="G150" si="16">IF(F150="DIRETO","-","")</f>
        <v/>
      </c>
      <c r="H150" s="16"/>
      <c r="J150" s="21">
        <f>COUNTIF(H144:H210,"ok*")</f>
        <v>44</v>
      </c>
    </row>
    <row r="151" spans="1:10" ht="35.1" customHeight="1" x14ac:dyDescent="0.25">
      <c r="A151" s="14">
        <v>7448354</v>
      </c>
      <c r="B151" s="16">
        <v>30500447</v>
      </c>
      <c r="C151" s="16">
        <v>7</v>
      </c>
      <c r="D151" s="16" t="s">
        <v>95</v>
      </c>
      <c r="E151" s="29">
        <v>46044</v>
      </c>
      <c r="F151" s="16" t="s">
        <v>95</v>
      </c>
      <c r="G151" s="29">
        <v>46049</v>
      </c>
      <c r="H151" s="16" t="s">
        <v>96</v>
      </c>
      <c r="J151" s="22" t="s">
        <v>23</v>
      </c>
    </row>
    <row r="152" spans="1:10" ht="35.1" customHeight="1" x14ac:dyDescent="0.25">
      <c r="A152" s="14">
        <v>7448355</v>
      </c>
      <c r="B152" s="16">
        <v>30500460</v>
      </c>
      <c r="C152" s="16">
        <v>14</v>
      </c>
      <c r="D152" s="16" t="s">
        <v>95</v>
      </c>
      <c r="E152" s="29">
        <v>46044</v>
      </c>
      <c r="F152" s="16" t="s">
        <v>95</v>
      </c>
      <c r="G152" s="29">
        <v>46045</v>
      </c>
      <c r="H152" s="16" t="s">
        <v>96</v>
      </c>
      <c r="J152" s="23">
        <f t="shared" ref="J152" si="17">J150/J148</f>
        <v>0.91666666666666663</v>
      </c>
    </row>
    <row r="153" spans="1:10" ht="35.1" customHeight="1" x14ac:dyDescent="0.25">
      <c r="A153" s="14">
        <v>7448356</v>
      </c>
      <c r="B153" s="16" t="s">
        <v>56</v>
      </c>
      <c r="C153" s="16">
        <v>5</v>
      </c>
      <c r="D153" s="16" t="s">
        <v>95</v>
      </c>
      <c r="E153" s="29">
        <v>46044</v>
      </c>
      <c r="F153" s="16" t="s">
        <v>95</v>
      </c>
      <c r="G153" s="29">
        <v>46049</v>
      </c>
      <c r="H153" s="16" t="s">
        <v>96</v>
      </c>
    </row>
    <row r="154" spans="1:10" ht="35.1" customHeight="1" x14ac:dyDescent="0.25">
      <c r="A154" s="14">
        <v>7448357</v>
      </c>
      <c r="B154" s="16" t="s">
        <v>57</v>
      </c>
      <c r="C154" s="16">
        <v>5</v>
      </c>
      <c r="D154" s="16" t="s">
        <v>95</v>
      </c>
      <c r="E154" s="29">
        <v>46044</v>
      </c>
      <c r="F154" s="16" t="s">
        <v>95</v>
      </c>
      <c r="G154" s="29">
        <v>46049</v>
      </c>
      <c r="H154" s="16" t="s">
        <v>96</v>
      </c>
    </row>
    <row r="155" spans="1:10" ht="35.1" customHeight="1" x14ac:dyDescent="0.25">
      <c r="A155" s="13">
        <v>46036</v>
      </c>
      <c r="B155" s="33" t="s">
        <v>30</v>
      </c>
      <c r="C155" s="34"/>
      <c r="D155" s="34"/>
      <c r="E155" s="34"/>
      <c r="F155" s="35"/>
      <c r="G155" s="5">
        <v>331</v>
      </c>
      <c r="H155" s="5" t="str">
        <f>VLOOKUP(G155,Apoio!A$1:B180,2,0)</f>
        <v>LASER 6KW/DOBRA</v>
      </c>
    </row>
    <row r="156" spans="1:10" ht="35.1" customHeight="1" x14ac:dyDescent="0.25">
      <c r="A156" s="11"/>
      <c r="B156" s="6" t="s">
        <v>19</v>
      </c>
      <c r="C156" s="12"/>
      <c r="D156" s="30" t="s">
        <v>4</v>
      </c>
      <c r="E156" s="31"/>
      <c r="F156" s="31"/>
      <c r="G156" s="31"/>
      <c r="H156" s="32"/>
    </row>
    <row r="157" spans="1:10" ht="35.1" customHeight="1" x14ac:dyDescent="0.25">
      <c r="A157" s="3" t="s">
        <v>0</v>
      </c>
      <c r="B157" s="3" t="s">
        <v>2</v>
      </c>
      <c r="C157" s="3" t="s">
        <v>1</v>
      </c>
      <c r="D157" s="3" t="str">
        <f>IFERROR(VLOOKUP(G155,Apoio!F$1:G$43,2,0),"")</f>
        <v>LASER 6KW</v>
      </c>
      <c r="E157" s="4" t="s">
        <v>5</v>
      </c>
      <c r="F157" s="3" t="str">
        <f>IFERROR(VLOOKUP(G155,Apoio!H$1:I$44,2,0),"")</f>
        <v>DOBRA</v>
      </c>
      <c r="G157" s="4" t="s">
        <v>5</v>
      </c>
      <c r="H157" s="4" t="s">
        <v>6</v>
      </c>
    </row>
    <row r="158" spans="1:10" ht="35.1" customHeight="1" x14ac:dyDescent="0.25">
      <c r="A158" s="14">
        <v>7448358</v>
      </c>
      <c r="B158" s="15" t="s">
        <v>58</v>
      </c>
      <c r="C158" s="16">
        <v>2</v>
      </c>
      <c r="D158" s="16" t="s">
        <v>95</v>
      </c>
      <c r="E158" s="29">
        <v>46044</v>
      </c>
      <c r="F158" s="16" t="s">
        <v>95</v>
      </c>
      <c r="G158" s="29">
        <v>46049</v>
      </c>
      <c r="H158" s="16" t="s">
        <v>96</v>
      </c>
    </row>
    <row r="159" spans="1:10" ht="35.1" customHeight="1" x14ac:dyDescent="0.25">
      <c r="A159" s="14">
        <v>7448359</v>
      </c>
      <c r="B159" s="15" t="s">
        <v>59</v>
      </c>
      <c r="C159" s="16">
        <v>2</v>
      </c>
      <c r="D159" s="16" t="s">
        <v>95</v>
      </c>
      <c r="E159" s="29">
        <v>46044</v>
      </c>
      <c r="F159" s="16" t="s">
        <v>95</v>
      </c>
      <c r="G159" s="29">
        <v>46049</v>
      </c>
      <c r="H159" s="16" t="s">
        <v>96</v>
      </c>
    </row>
    <row r="160" spans="1:10" ht="35.1" customHeight="1" x14ac:dyDescent="0.25">
      <c r="A160" s="14">
        <v>7448360</v>
      </c>
      <c r="B160" s="15">
        <v>30500479</v>
      </c>
      <c r="C160" s="16">
        <v>5</v>
      </c>
      <c r="D160" s="16" t="s">
        <v>95</v>
      </c>
      <c r="E160" s="29">
        <v>46045</v>
      </c>
      <c r="F160" s="16" t="s">
        <v>95</v>
      </c>
      <c r="G160" s="29">
        <v>46048</v>
      </c>
      <c r="H160" s="16" t="s">
        <v>96</v>
      </c>
      <c r="J160" s="10"/>
    </row>
    <row r="161" spans="1:10" ht="35.1" customHeight="1" x14ac:dyDescent="0.25">
      <c r="A161" s="14">
        <v>7448361</v>
      </c>
      <c r="B161" s="15" t="s">
        <v>60</v>
      </c>
      <c r="C161" s="16">
        <v>5</v>
      </c>
      <c r="D161" s="16" t="s">
        <v>95</v>
      </c>
      <c r="E161" s="29">
        <v>46045</v>
      </c>
      <c r="F161" s="16" t="s">
        <v>95</v>
      </c>
      <c r="G161" s="29">
        <v>46048</v>
      </c>
      <c r="H161" s="16" t="s">
        <v>96</v>
      </c>
      <c r="J161" s="10"/>
    </row>
    <row r="162" spans="1:10" ht="35.1" customHeight="1" x14ac:dyDescent="0.25">
      <c r="A162" s="14">
        <v>7448362</v>
      </c>
      <c r="B162" s="16">
        <v>30500480</v>
      </c>
      <c r="C162" s="16">
        <v>7</v>
      </c>
      <c r="D162" s="16" t="s">
        <v>95</v>
      </c>
      <c r="E162" s="29">
        <v>46044</v>
      </c>
      <c r="F162" s="16" t="s">
        <v>95</v>
      </c>
      <c r="G162" s="29">
        <v>46045</v>
      </c>
      <c r="H162" s="16" t="s">
        <v>96</v>
      </c>
      <c r="J162" s="10"/>
    </row>
    <row r="163" spans="1:10" ht="35.1" customHeight="1" x14ac:dyDescent="0.25">
      <c r="A163" s="14">
        <v>7448363</v>
      </c>
      <c r="B163" s="16" t="s">
        <v>61</v>
      </c>
      <c r="C163" s="16">
        <v>7</v>
      </c>
      <c r="D163" s="16" t="s">
        <v>95</v>
      </c>
      <c r="E163" s="29">
        <v>46044</v>
      </c>
      <c r="F163" s="16" t="s">
        <v>95</v>
      </c>
      <c r="G163" s="29">
        <v>46048</v>
      </c>
      <c r="H163" s="16" t="s">
        <v>96</v>
      </c>
      <c r="J163" s="10"/>
    </row>
    <row r="164" spans="1:10" ht="35.1" customHeight="1" x14ac:dyDescent="0.25">
      <c r="A164" s="14">
        <v>7448364</v>
      </c>
      <c r="B164" s="16" t="s">
        <v>62</v>
      </c>
      <c r="C164" s="16">
        <v>12</v>
      </c>
      <c r="D164" s="16" t="s">
        <v>95</v>
      </c>
      <c r="E164" s="29">
        <v>46042</v>
      </c>
      <c r="F164" s="16" t="s">
        <v>96</v>
      </c>
      <c r="G164" s="29">
        <v>46043</v>
      </c>
      <c r="H164" s="16" t="s">
        <v>96</v>
      </c>
      <c r="J164" s="10"/>
    </row>
    <row r="165" spans="1:10" ht="35.1" customHeight="1" x14ac:dyDescent="0.25">
      <c r="A165" s="14">
        <v>7448365</v>
      </c>
      <c r="B165" s="16" t="s">
        <v>63</v>
      </c>
      <c r="C165" s="16">
        <v>14</v>
      </c>
      <c r="D165" s="16" t="s">
        <v>95</v>
      </c>
      <c r="E165" s="29">
        <v>46043</v>
      </c>
      <c r="F165" s="16" t="s">
        <v>96</v>
      </c>
      <c r="G165" s="29">
        <v>46043</v>
      </c>
      <c r="H165" s="16" t="s">
        <v>96</v>
      </c>
      <c r="J165" s="10"/>
    </row>
    <row r="166" spans="1:10" ht="35.1" customHeight="1" x14ac:dyDescent="0.25">
      <c r="A166" s="14">
        <v>7448366</v>
      </c>
      <c r="B166" s="16">
        <v>30500484</v>
      </c>
      <c r="C166" s="16">
        <v>7</v>
      </c>
      <c r="D166" s="16" t="s">
        <v>95</v>
      </c>
      <c r="E166" s="29">
        <v>46045</v>
      </c>
      <c r="F166" s="16" t="s">
        <v>95</v>
      </c>
      <c r="G166" s="29">
        <v>46049</v>
      </c>
      <c r="H166" s="16" t="s">
        <v>96</v>
      </c>
      <c r="J166" s="10"/>
    </row>
    <row r="167" spans="1:10" ht="35.1" customHeight="1" x14ac:dyDescent="0.25">
      <c r="A167" s="14">
        <v>7448367</v>
      </c>
      <c r="B167" s="16" t="s">
        <v>64</v>
      </c>
      <c r="C167" s="16">
        <v>7</v>
      </c>
      <c r="D167" s="16" t="s">
        <v>95</v>
      </c>
      <c r="E167" s="29">
        <v>46045</v>
      </c>
      <c r="F167" s="16" t="s">
        <v>95</v>
      </c>
      <c r="G167" s="29">
        <v>46049</v>
      </c>
      <c r="H167" s="16" t="s">
        <v>96</v>
      </c>
    </row>
    <row r="168" spans="1:10" ht="35.1" customHeight="1" x14ac:dyDescent="0.25">
      <c r="A168" s="14">
        <v>7448368</v>
      </c>
      <c r="B168" s="16">
        <v>30500486</v>
      </c>
      <c r="C168" s="16">
        <v>7</v>
      </c>
      <c r="D168" s="16" t="s">
        <v>95</v>
      </c>
      <c r="E168" s="29">
        <v>46045</v>
      </c>
      <c r="F168" s="16" t="s">
        <v>95</v>
      </c>
      <c r="G168" s="29">
        <v>46049</v>
      </c>
      <c r="H168" s="16" t="s">
        <v>96</v>
      </c>
    </row>
    <row r="169" spans="1:10" ht="35.1" customHeight="1" x14ac:dyDescent="0.25">
      <c r="A169" s="13">
        <v>46036</v>
      </c>
      <c r="B169" s="33" t="s">
        <v>30</v>
      </c>
      <c r="C169" s="34"/>
      <c r="D169" s="34"/>
      <c r="E169" s="34"/>
      <c r="F169" s="35"/>
      <c r="G169" s="5">
        <v>331</v>
      </c>
      <c r="H169" s="5" t="str">
        <f>VLOOKUP(G169,Apoio!A$1:B194,2,0)</f>
        <v>LASER 6KW/DOBRA</v>
      </c>
    </row>
    <row r="170" spans="1:10" ht="35.1" customHeight="1" x14ac:dyDescent="0.25">
      <c r="A170" s="11"/>
      <c r="B170" s="6" t="s">
        <v>19</v>
      </c>
      <c r="C170" s="12"/>
      <c r="D170" s="30" t="s">
        <v>4</v>
      </c>
      <c r="E170" s="31"/>
      <c r="F170" s="31"/>
      <c r="G170" s="31"/>
      <c r="H170" s="32"/>
    </row>
    <row r="171" spans="1:10" ht="35.1" customHeight="1" x14ac:dyDescent="0.25">
      <c r="A171" s="3" t="s">
        <v>0</v>
      </c>
      <c r="B171" s="3" t="s">
        <v>2</v>
      </c>
      <c r="C171" s="3" t="s">
        <v>1</v>
      </c>
      <c r="D171" s="3" t="str">
        <f>IFERROR(VLOOKUP(G169,Apoio!F$1:G$43,2,0),"")</f>
        <v>LASER 6KW</v>
      </c>
      <c r="E171" s="4" t="s">
        <v>5</v>
      </c>
      <c r="F171" s="3" t="str">
        <f>IFERROR(VLOOKUP(G169,Apoio!H$1:I$44,2,0),"")</f>
        <v>DOBRA</v>
      </c>
      <c r="G171" s="4" t="s">
        <v>5</v>
      </c>
      <c r="H171" s="4" t="s">
        <v>6</v>
      </c>
    </row>
    <row r="172" spans="1:10" ht="35.1" customHeight="1" x14ac:dyDescent="0.25">
      <c r="A172" s="14">
        <v>7448369</v>
      </c>
      <c r="B172" s="15" t="s">
        <v>65</v>
      </c>
      <c r="C172" s="16">
        <v>7</v>
      </c>
      <c r="D172" s="16" t="s">
        <v>95</v>
      </c>
      <c r="E172" s="29">
        <v>46045</v>
      </c>
      <c r="F172" s="16" t="s">
        <v>95</v>
      </c>
      <c r="G172" s="29">
        <v>46049</v>
      </c>
      <c r="H172" s="16" t="s">
        <v>96</v>
      </c>
    </row>
    <row r="173" spans="1:10" ht="35.1" customHeight="1" x14ac:dyDescent="0.25">
      <c r="A173" s="14">
        <v>7448370</v>
      </c>
      <c r="B173" s="15" t="s">
        <v>66</v>
      </c>
      <c r="C173" s="16">
        <v>28</v>
      </c>
      <c r="D173" s="16"/>
      <c r="E173" s="16"/>
      <c r="F173" s="16" t="str">
        <f>IF($A173&lt;&gt;"",IF($F171="","DIRETO",""),"")</f>
        <v/>
      </c>
      <c r="G173" s="16" t="str">
        <f t="shared" ref="G173" si="18">IF(F173="DIRETO","-","")</f>
        <v/>
      </c>
      <c r="H173" s="16"/>
    </row>
    <row r="174" spans="1:10" ht="35.1" customHeight="1" x14ac:dyDescent="0.25">
      <c r="A174" s="14">
        <v>7448371</v>
      </c>
      <c r="B174" s="15" t="s">
        <v>67</v>
      </c>
      <c r="C174" s="16">
        <v>21</v>
      </c>
      <c r="D174" s="16" t="s">
        <v>95</v>
      </c>
      <c r="E174" s="29">
        <v>46045</v>
      </c>
      <c r="F174" s="16" t="s">
        <v>95</v>
      </c>
      <c r="G174" s="29">
        <v>46049</v>
      </c>
      <c r="H174" s="16" t="s">
        <v>96</v>
      </c>
      <c r="J174" s="10"/>
    </row>
    <row r="175" spans="1:10" ht="35.1" customHeight="1" x14ac:dyDescent="0.25">
      <c r="A175" s="14">
        <v>7448372</v>
      </c>
      <c r="B175" s="15">
        <v>30500506</v>
      </c>
      <c r="C175" s="16">
        <v>10</v>
      </c>
      <c r="D175" s="16" t="s">
        <v>95</v>
      </c>
      <c r="E175" s="29">
        <v>46048</v>
      </c>
      <c r="F175" s="16" t="s">
        <v>95</v>
      </c>
      <c r="G175" s="29">
        <v>46048</v>
      </c>
      <c r="H175" s="16" t="s">
        <v>96</v>
      </c>
      <c r="J175" s="10"/>
    </row>
    <row r="176" spans="1:10" ht="35.1" customHeight="1" x14ac:dyDescent="0.25">
      <c r="A176" s="14">
        <v>7448373</v>
      </c>
      <c r="B176" s="16" t="s">
        <v>68</v>
      </c>
      <c r="C176" s="16">
        <v>8</v>
      </c>
      <c r="D176" s="16" t="s">
        <v>95</v>
      </c>
      <c r="E176" s="29">
        <v>46045</v>
      </c>
      <c r="F176" s="16" t="s">
        <v>95</v>
      </c>
      <c r="G176" s="29">
        <v>46048</v>
      </c>
      <c r="H176" s="16" t="s">
        <v>96</v>
      </c>
      <c r="J176" s="10"/>
    </row>
    <row r="177" spans="1:10" ht="35.1" customHeight="1" x14ac:dyDescent="0.25">
      <c r="A177" s="14">
        <v>7448374</v>
      </c>
      <c r="B177" s="16" t="s">
        <v>69</v>
      </c>
      <c r="C177" s="16">
        <v>20</v>
      </c>
      <c r="D177" s="16" t="s">
        <v>95</v>
      </c>
      <c r="E177" s="29">
        <v>46045</v>
      </c>
      <c r="F177" s="16" t="s">
        <v>95</v>
      </c>
      <c r="G177" s="29">
        <v>46048</v>
      </c>
      <c r="H177" s="16" t="s">
        <v>96</v>
      </c>
      <c r="J177" s="10"/>
    </row>
    <row r="178" spans="1:10" ht="35.1" customHeight="1" x14ac:dyDescent="0.25">
      <c r="A178" s="14">
        <v>7448375</v>
      </c>
      <c r="B178" s="16">
        <v>30500507</v>
      </c>
      <c r="C178" s="16">
        <v>10</v>
      </c>
      <c r="D178" s="16" t="s">
        <v>95</v>
      </c>
      <c r="E178" s="29">
        <v>46048</v>
      </c>
      <c r="F178" s="16" t="s">
        <v>95</v>
      </c>
      <c r="G178" s="29">
        <v>46048</v>
      </c>
      <c r="H178" s="16" t="s">
        <v>96</v>
      </c>
      <c r="J178" s="10"/>
    </row>
    <row r="179" spans="1:10" ht="35.1" customHeight="1" x14ac:dyDescent="0.25">
      <c r="A179" s="14">
        <v>7448376</v>
      </c>
      <c r="B179" s="16">
        <v>30500508</v>
      </c>
      <c r="C179" s="16">
        <v>7</v>
      </c>
      <c r="D179" s="16" t="s">
        <v>95</v>
      </c>
      <c r="E179" s="29">
        <v>46043</v>
      </c>
      <c r="F179" s="16" t="s">
        <v>95</v>
      </c>
      <c r="G179" s="29">
        <v>46056</v>
      </c>
      <c r="H179" s="16" t="s">
        <v>96</v>
      </c>
      <c r="J179" s="10"/>
    </row>
    <row r="180" spans="1:10" ht="35.1" customHeight="1" x14ac:dyDescent="0.25">
      <c r="A180" s="14">
        <v>7448377</v>
      </c>
      <c r="B180" s="16" t="s">
        <v>70</v>
      </c>
      <c r="C180" s="16">
        <v>7</v>
      </c>
      <c r="D180" s="16" t="s">
        <v>95</v>
      </c>
      <c r="E180" s="29">
        <v>46043</v>
      </c>
      <c r="F180" s="16" t="s">
        <v>95</v>
      </c>
      <c r="G180" s="29">
        <v>46056</v>
      </c>
      <c r="H180" s="16" t="s">
        <v>96</v>
      </c>
      <c r="J180" s="10"/>
    </row>
    <row r="181" spans="1:10" ht="35.1" customHeight="1" x14ac:dyDescent="0.25">
      <c r="A181" s="14">
        <v>7448378</v>
      </c>
      <c r="B181" s="16">
        <v>30500509</v>
      </c>
      <c r="C181" s="16">
        <v>7</v>
      </c>
      <c r="D181" s="16" t="s">
        <v>95</v>
      </c>
      <c r="E181" s="29">
        <v>46043</v>
      </c>
      <c r="F181" s="16" t="s">
        <v>95</v>
      </c>
      <c r="G181" s="29">
        <v>46044</v>
      </c>
      <c r="H181" s="16" t="s">
        <v>96</v>
      </c>
    </row>
    <row r="182" spans="1:10" ht="35.1" customHeight="1" x14ac:dyDescent="0.25">
      <c r="A182" s="14">
        <v>7448379</v>
      </c>
      <c r="B182" s="16">
        <v>30500517</v>
      </c>
      <c r="C182" s="16">
        <v>7</v>
      </c>
      <c r="D182" s="16" t="s">
        <v>95</v>
      </c>
      <c r="E182" s="29">
        <v>46045</v>
      </c>
      <c r="F182" s="16" t="s">
        <v>95</v>
      </c>
      <c r="G182" s="29">
        <v>46050</v>
      </c>
      <c r="H182" s="16" t="s">
        <v>96</v>
      </c>
    </row>
    <row r="183" spans="1:10" ht="35.1" customHeight="1" x14ac:dyDescent="0.25">
      <c r="A183" s="13">
        <v>46036</v>
      </c>
      <c r="B183" s="33" t="s">
        <v>30</v>
      </c>
      <c r="C183" s="34"/>
      <c r="D183" s="34"/>
      <c r="E183" s="34"/>
      <c r="F183" s="35"/>
      <c r="G183" s="5">
        <v>331</v>
      </c>
      <c r="H183" s="5" t="str">
        <f>VLOOKUP(G183,Apoio!A$1:B208,2,0)</f>
        <v>LASER 6KW/DOBRA</v>
      </c>
    </row>
    <row r="184" spans="1:10" ht="35.1" customHeight="1" x14ac:dyDescent="0.25">
      <c r="A184" s="11"/>
      <c r="B184" s="6" t="s">
        <v>19</v>
      </c>
      <c r="C184" s="12"/>
      <c r="D184" s="30" t="s">
        <v>4</v>
      </c>
      <c r="E184" s="31"/>
      <c r="F184" s="31"/>
      <c r="G184" s="31"/>
      <c r="H184" s="32"/>
    </row>
    <row r="185" spans="1:10" ht="35.1" customHeight="1" x14ac:dyDescent="0.25">
      <c r="A185" s="3" t="s">
        <v>0</v>
      </c>
      <c r="B185" s="3" t="s">
        <v>2</v>
      </c>
      <c r="C185" s="3" t="s">
        <v>1</v>
      </c>
      <c r="D185" s="3" t="str">
        <f>IFERROR(VLOOKUP(G183,Apoio!F$1:G$43,2,0),"")</f>
        <v>LASER 6KW</v>
      </c>
      <c r="E185" s="4" t="s">
        <v>5</v>
      </c>
      <c r="F185" s="3" t="str">
        <f>IFERROR(VLOOKUP(G183,Apoio!H$1:I$44,2,0),"")</f>
        <v>DOBRA</v>
      </c>
      <c r="G185" s="4" t="s">
        <v>5</v>
      </c>
      <c r="H185" s="4" t="s">
        <v>6</v>
      </c>
    </row>
    <row r="186" spans="1:10" ht="35.1" customHeight="1" x14ac:dyDescent="0.25">
      <c r="A186" s="14">
        <v>7448380</v>
      </c>
      <c r="B186" s="15" t="s">
        <v>71</v>
      </c>
      <c r="C186" s="16">
        <v>7</v>
      </c>
      <c r="D186" s="16" t="s">
        <v>95</v>
      </c>
      <c r="E186" s="29">
        <v>46045</v>
      </c>
      <c r="F186" s="16" t="s">
        <v>95</v>
      </c>
      <c r="G186" s="29">
        <v>46050</v>
      </c>
      <c r="H186" s="16" t="s">
        <v>96</v>
      </c>
    </row>
    <row r="187" spans="1:10" ht="35.1" customHeight="1" x14ac:dyDescent="0.25">
      <c r="A187" s="14">
        <v>7448381</v>
      </c>
      <c r="B187" s="15">
        <v>30500538</v>
      </c>
      <c r="C187" s="16">
        <v>7</v>
      </c>
      <c r="D187" s="16" t="s">
        <v>95</v>
      </c>
      <c r="E187" s="29">
        <v>46043</v>
      </c>
      <c r="F187" s="16" t="s">
        <v>95</v>
      </c>
      <c r="G187" s="29">
        <v>46043</v>
      </c>
      <c r="H187" s="16" t="s">
        <v>96</v>
      </c>
    </row>
    <row r="188" spans="1:10" ht="35.1" customHeight="1" x14ac:dyDescent="0.25">
      <c r="A188" s="14">
        <v>7448382</v>
      </c>
      <c r="B188" s="15">
        <v>30500542</v>
      </c>
      <c r="C188" s="16">
        <v>32</v>
      </c>
      <c r="D188" s="16" t="s">
        <v>95</v>
      </c>
      <c r="E188" s="29">
        <v>46043</v>
      </c>
      <c r="F188" s="16" t="s">
        <v>95</v>
      </c>
      <c r="G188" s="29">
        <v>46043</v>
      </c>
      <c r="H188" s="16" t="s">
        <v>96</v>
      </c>
      <c r="J188" s="10"/>
    </row>
    <row r="189" spans="1:10" ht="35.1" customHeight="1" x14ac:dyDescent="0.25">
      <c r="A189" s="14">
        <v>7448383</v>
      </c>
      <c r="B189" s="15">
        <v>30500550</v>
      </c>
      <c r="C189" s="16">
        <v>7</v>
      </c>
      <c r="D189" s="16"/>
      <c r="E189" s="16"/>
      <c r="F189" s="16" t="str">
        <f>IF($A189&lt;&gt;"",IF($F185="","DIRETO",""),"")</f>
        <v/>
      </c>
      <c r="G189" s="16" t="str">
        <f t="shared" ref="G189" si="19">IF(F189="DIRETO","-","")</f>
        <v/>
      </c>
      <c r="H189" s="16"/>
      <c r="J189" s="10"/>
    </row>
    <row r="190" spans="1:10" ht="35.1" customHeight="1" x14ac:dyDescent="0.25">
      <c r="A190" s="14">
        <v>7448384</v>
      </c>
      <c r="B190" s="16">
        <v>30501141</v>
      </c>
      <c r="C190" s="16">
        <v>7</v>
      </c>
      <c r="D190" s="16" t="s">
        <v>95</v>
      </c>
      <c r="E190" s="29">
        <v>46044</v>
      </c>
      <c r="F190" s="16" t="s">
        <v>95</v>
      </c>
      <c r="G190" s="29">
        <v>46045</v>
      </c>
      <c r="H190" s="16" t="s">
        <v>96</v>
      </c>
      <c r="J190" s="10"/>
    </row>
    <row r="191" spans="1:10" ht="35.1" customHeight="1" x14ac:dyDescent="0.25">
      <c r="A191" s="14">
        <v>7448385</v>
      </c>
      <c r="B191" s="16" t="s">
        <v>72</v>
      </c>
      <c r="C191" s="16">
        <v>7</v>
      </c>
      <c r="D191" s="16" t="s">
        <v>95</v>
      </c>
      <c r="E191" s="29">
        <v>46044</v>
      </c>
      <c r="F191" s="16" t="s">
        <v>95</v>
      </c>
      <c r="G191" s="29">
        <v>46045</v>
      </c>
      <c r="H191" s="16" t="s">
        <v>96</v>
      </c>
      <c r="J191" s="10"/>
    </row>
    <row r="192" spans="1:10" ht="35.1" customHeight="1" x14ac:dyDescent="0.25">
      <c r="A192" s="14">
        <v>7448386</v>
      </c>
      <c r="B192" s="16">
        <v>30502250</v>
      </c>
      <c r="C192" s="16">
        <v>31</v>
      </c>
      <c r="D192" s="16" t="s">
        <v>95</v>
      </c>
      <c r="E192" s="29">
        <v>46044</v>
      </c>
      <c r="F192" s="16" t="s">
        <v>95</v>
      </c>
      <c r="G192" s="29">
        <v>46062</v>
      </c>
      <c r="H192" s="16" t="s">
        <v>96</v>
      </c>
      <c r="J192" s="10"/>
    </row>
    <row r="193" spans="1:10" ht="35.1" customHeight="1" x14ac:dyDescent="0.25">
      <c r="A193" s="14">
        <v>7448387</v>
      </c>
      <c r="B193" s="16">
        <v>30502302</v>
      </c>
      <c r="C193" s="16">
        <v>2</v>
      </c>
      <c r="D193" s="16" t="s">
        <v>95</v>
      </c>
      <c r="E193" s="29">
        <v>46045</v>
      </c>
      <c r="F193" s="16" t="s">
        <v>95</v>
      </c>
      <c r="G193" s="29">
        <v>46048</v>
      </c>
      <c r="H193" s="16" t="s">
        <v>96</v>
      </c>
      <c r="J193" s="10"/>
    </row>
    <row r="194" spans="1:10" ht="35.1" customHeight="1" x14ac:dyDescent="0.25">
      <c r="A194" s="14">
        <v>7448388</v>
      </c>
      <c r="B194" s="16" t="s">
        <v>73</v>
      </c>
      <c r="C194" s="16">
        <v>2</v>
      </c>
      <c r="D194" s="16" t="s">
        <v>95</v>
      </c>
      <c r="E194" s="29">
        <v>46045</v>
      </c>
      <c r="F194" s="16" t="s">
        <v>95</v>
      </c>
      <c r="G194" s="29">
        <v>46048</v>
      </c>
      <c r="H194" s="16" t="s">
        <v>96</v>
      </c>
      <c r="J194" s="10"/>
    </row>
    <row r="195" spans="1:10" ht="35.1" customHeight="1" x14ac:dyDescent="0.25">
      <c r="A195" s="14">
        <v>7448389</v>
      </c>
      <c r="B195" s="16">
        <v>30502304</v>
      </c>
      <c r="C195" s="16">
        <v>4</v>
      </c>
      <c r="D195" s="16" t="s">
        <v>95</v>
      </c>
      <c r="E195" s="29">
        <v>46048</v>
      </c>
      <c r="F195" s="16" t="s">
        <v>95</v>
      </c>
      <c r="G195" s="29">
        <v>46048</v>
      </c>
      <c r="H195" s="16" t="s">
        <v>96</v>
      </c>
    </row>
    <row r="196" spans="1:10" ht="35.1" customHeight="1" x14ac:dyDescent="0.25">
      <c r="A196" s="14">
        <v>7448390</v>
      </c>
      <c r="B196" s="16">
        <v>30502305</v>
      </c>
      <c r="C196" s="16">
        <v>4</v>
      </c>
      <c r="D196" s="16" t="s">
        <v>95</v>
      </c>
      <c r="E196" s="29">
        <v>46048</v>
      </c>
      <c r="F196" s="16" t="s">
        <v>95</v>
      </c>
      <c r="G196" s="29">
        <v>46048</v>
      </c>
      <c r="H196" s="16" t="s">
        <v>96</v>
      </c>
    </row>
    <row r="197" spans="1:10" ht="35.1" customHeight="1" x14ac:dyDescent="0.25">
      <c r="A197" s="13">
        <v>46036</v>
      </c>
      <c r="B197" s="33" t="s">
        <v>30</v>
      </c>
      <c r="C197" s="34"/>
      <c r="D197" s="34"/>
      <c r="E197" s="34"/>
      <c r="F197" s="35"/>
      <c r="G197" s="5">
        <v>331</v>
      </c>
      <c r="H197" s="5" t="str">
        <f>VLOOKUP(G197,Apoio!A$1:B222,2,0)</f>
        <v>LASER 6KW/DOBRA</v>
      </c>
    </row>
    <row r="198" spans="1:10" ht="35.1" customHeight="1" x14ac:dyDescent="0.25">
      <c r="A198" s="11"/>
      <c r="B198" s="6" t="s">
        <v>19</v>
      </c>
      <c r="C198" s="12"/>
      <c r="D198" s="30" t="s">
        <v>4</v>
      </c>
      <c r="E198" s="31"/>
      <c r="F198" s="31"/>
      <c r="G198" s="31"/>
      <c r="H198" s="32"/>
    </row>
    <row r="199" spans="1:10" ht="35.1" customHeight="1" x14ac:dyDescent="0.25">
      <c r="A199" s="3" t="s">
        <v>0</v>
      </c>
      <c r="B199" s="3" t="s">
        <v>2</v>
      </c>
      <c r="C199" s="3" t="s">
        <v>1</v>
      </c>
      <c r="D199" s="3" t="str">
        <f>IFERROR(VLOOKUP(G197,Apoio!F$1:G$43,2,0),"")</f>
        <v>LASER 6KW</v>
      </c>
      <c r="E199" s="4" t="s">
        <v>5</v>
      </c>
      <c r="F199" s="3" t="str">
        <f>IFERROR(VLOOKUP(G197,Apoio!H$1:I$44,2,0),"")</f>
        <v>DOBRA</v>
      </c>
      <c r="G199" s="4" t="s">
        <v>5</v>
      </c>
      <c r="H199" s="4" t="s">
        <v>6</v>
      </c>
    </row>
    <row r="200" spans="1:10" ht="35.1" customHeight="1" x14ac:dyDescent="0.25">
      <c r="A200" s="14">
        <v>7448391</v>
      </c>
      <c r="B200" s="15">
        <v>30502313</v>
      </c>
      <c r="C200" s="16">
        <v>7</v>
      </c>
      <c r="D200" s="16" t="s">
        <v>95</v>
      </c>
      <c r="E200" s="29">
        <v>46043</v>
      </c>
      <c r="F200" s="16" t="s">
        <v>95</v>
      </c>
      <c r="G200" s="29">
        <v>46043</v>
      </c>
      <c r="H200" s="16" t="s">
        <v>96</v>
      </c>
    </row>
    <row r="201" spans="1:10" ht="35.1" customHeight="1" x14ac:dyDescent="0.25">
      <c r="A201" s="14">
        <v>7448392</v>
      </c>
      <c r="B201" s="15" t="s">
        <v>74</v>
      </c>
      <c r="C201" s="16">
        <v>5</v>
      </c>
      <c r="D201" s="16" t="s">
        <v>95</v>
      </c>
      <c r="E201" s="29">
        <v>46043</v>
      </c>
      <c r="F201" s="16" t="s">
        <v>95</v>
      </c>
      <c r="G201" s="29">
        <v>46045</v>
      </c>
      <c r="H201" s="16" t="s">
        <v>96</v>
      </c>
    </row>
    <row r="202" spans="1:10" ht="35.1" customHeight="1" x14ac:dyDescent="0.25">
      <c r="A202" s="14">
        <v>7448393</v>
      </c>
      <c r="B202" s="15">
        <v>30509077</v>
      </c>
      <c r="C202" s="16">
        <v>14</v>
      </c>
      <c r="D202" s="16"/>
      <c r="E202" s="16"/>
      <c r="F202" s="16" t="str">
        <f>IF($A202&lt;&gt;"",IF($F199="","DIRETO",""),"")</f>
        <v/>
      </c>
      <c r="G202" s="16" t="str">
        <f t="shared" ref="G202:G210" si="20">IF(F202="DIRETO","-","")</f>
        <v/>
      </c>
      <c r="H202" s="16"/>
      <c r="J202" s="10"/>
    </row>
    <row r="203" spans="1:10" ht="35.1" customHeight="1" x14ac:dyDescent="0.25">
      <c r="A203" s="14">
        <v>7448486</v>
      </c>
      <c r="B203" s="15">
        <v>30502492</v>
      </c>
      <c r="C203" s="16">
        <v>7</v>
      </c>
      <c r="D203" s="16" t="s">
        <v>103</v>
      </c>
      <c r="E203" s="16"/>
      <c r="F203" s="16" t="s">
        <v>103</v>
      </c>
      <c r="G203" s="16" t="str">
        <f t="shared" si="20"/>
        <v/>
      </c>
      <c r="H203" s="16" t="s">
        <v>96</v>
      </c>
      <c r="J203" s="10"/>
    </row>
    <row r="204" spans="1:10" ht="35.1" customHeight="1" x14ac:dyDescent="0.25">
      <c r="A204" s="14"/>
      <c r="B204" s="16"/>
      <c r="C204" s="16"/>
      <c r="D204" s="16"/>
      <c r="E204" s="16"/>
      <c r="F204" s="16" t="str">
        <f>IF($A204&lt;&gt;"",IF($F199="","DIRETO",""),"")</f>
        <v/>
      </c>
      <c r="G204" s="16" t="str">
        <f t="shared" si="20"/>
        <v/>
      </c>
      <c r="H204" s="16"/>
      <c r="J204" s="10"/>
    </row>
    <row r="205" spans="1:10" ht="35.1" customHeight="1" x14ac:dyDescent="0.25">
      <c r="A205" s="14"/>
      <c r="B205" s="16"/>
      <c r="C205" s="16"/>
      <c r="D205" s="16"/>
      <c r="E205" s="16"/>
      <c r="F205" s="16" t="str">
        <f>IF($A205&lt;&gt;"",IF($F199="","DIRETO",""),"")</f>
        <v/>
      </c>
      <c r="G205" s="16" t="str">
        <f t="shared" si="20"/>
        <v/>
      </c>
      <c r="H205" s="16"/>
      <c r="J205" s="10"/>
    </row>
    <row r="206" spans="1:10" ht="35.1" customHeight="1" x14ac:dyDescent="0.25">
      <c r="A206" s="14"/>
      <c r="B206" s="16"/>
      <c r="C206" s="16"/>
      <c r="D206" s="16"/>
      <c r="E206" s="16"/>
      <c r="F206" s="16" t="str">
        <f>IF($A206&lt;&gt;"",IF($F199="","DIRETO",""),"")</f>
        <v/>
      </c>
      <c r="G206" s="16" t="str">
        <f t="shared" si="20"/>
        <v/>
      </c>
      <c r="H206" s="16"/>
      <c r="J206" s="10"/>
    </row>
    <row r="207" spans="1:10" ht="35.1" customHeight="1" x14ac:dyDescent="0.25">
      <c r="A207" s="14"/>
      <c r="B207" s="16"/>
      <c r="C207" s="16"/>
      <c r="D207" s="16"/>
      <c r="E207" s="16"/>
      <c r="F207" s="16" t="str">
        <f>IF($A207&lt;&gt;"",IF($F199="","DIRETO",""),"")</f>
        <v/>
      </c>
      <c r="G207" s="16" t="str">
        <f t="shared" si="20"/>
        <v/>
      </c>
      <c r="H207" s="16"/>
      <c r="J207" s="10"/>
    </row>
    <row r="208" spans="1:10" ht="35.1" customHeight="1" x14ac:dyDescent="0.25">
      <c r="A208" s="14"/>
      <c r="B208" s="16"/>
      <c r="C208" s="16"/>
      <c r="D208" s="16"/>
      <c r="E208" s="16"/>
      <c r="F208" s="16" t="str">
        <f>IF($A208&lt;&gt;"",IF($F199="","DIRETO",""),"")</f>
        <v/>
      </c>
      <c r="G208" s="16" t="str">
        <f t="shared" si="20"/>
        <v/>
      </c>
      <c r="H208" s="16"/>
      <c r="J208" s="10"/>
    </row>
    <row r="209" spans="1:10" ht="35.1" customHeight="1" x14ac:dyDescent="0.25">
      <c r="A209" s="14"/>
      <c r="B209" s="16"/>
      <c r="C209" s="16"/>
      <c r="D209" s="16"/>
      <c r="E209" s="16"/>
      <c r="F209" s="16" t="str">
        <f>IF($A209&lt;&gt;"",IF($F199="","DIRETO",""),"")</f>
        <v/>
      </c>
      <c r="G209" s="16" t="str">
        <f t="shared" si="20"/>
        <v/>
      </c>
      <c r="H209" s="16"/>
    </row>
    <row r="210" spans="1:10" ht="35.1" customHeight="1" x14ac:dyDescent="0.25">
      <c r="A210" s="14"/>
      <c r="B210" s="16"/>
      <c r="C210" s="16"/>
      <c r="D210" s="16"/>
      <c r="E210" s="16"/>
      <c r="F210" s="16" t="str">
        <f>IF($A210&lt;&gt;"",IF($F199="","DIRETO",""),"")</f>
        <v/>
      </c>
      <c r="G210" s="16" t="str">
        <f t="shared" si="20"/>
        <v/>
      </c>
      <c r="H210" s="16"/>
    </row>
    <row r="211" spans="1:10" ht="35.1" customHeight="1" x14ac:dyDescent="0.25">
      <c r="A211" s="13">
        <v>46036</v>
      </c>
      <c r="B211" s="33" t="s">
        <v>30</v>
      </c>
      <c r="C211" s="34"/>
      <c r="D211" s="34"/>
      <c r="E211" s="34"/>
      <c r="F211" s="35"/>
      <c r="G211" s="5">
        <v>350</v>
      </c>
      <c r="H211" s="5" t="str">
        <f>VLOOKUP(G211,Apoio!A$1:B236,2,0)</f>
        <v>LASER 40KW</v>
      </c>
    </row>
    <row r="212" spans="1:10" ht="35.1" customHeight="1" x14ac:dyDescent="0.25">
      <c r="A212" s="11"/>
      <c r="B212" s="6" t="s">
        <v>19</v>
      </c>
      <c r="C212" s="12"/>
      <c r="D212" s="30" t="s">
        <v>4</v>
      </c>
      <c r="E212" s="31"/>
      <c r="F212" s="31"/>
      <c r="G212" s="31"/>
      <c r="H212" s="32"/>
    </row>
    <row r="213" spans="1:10" ht="35.1" customHeight="1" x14ac:dyDescent="0.25">
      <c r="A213" s="3" t="s">
        <v>0</v>
      </c>
      <c r="B213" s="3" t="s">
        <v>2</v>
      </c>
      <c r="C213" s="3" t="s">
        <v>1</v>
      </c>
      <c r="D213" s="3" t="str">
        <f>IFERROR(VLOOKUP(G211,Apoio!F$1:G$43,2,0),"")</f>
        <v>LASER 40KW</v>
      </c>
      <c r="E213" s="4" t="s">
        <v>5</v>
      </c>
      <c r="F213" s="3" t="str">
        <f>IFERROR(VLOOKUP(G211,Apoio!H$1:I$44,2,0),"")</f>
        <v/>
      </c>
      <c r="G213" s="4" t="s">
        <v>5</v>
      </c>
      <c r="H213" s="4" t="s">
        <v>6</v>
      </c>
    </row>
    <row r="214" spans="1:10" ht="35.1" customHeight="1" x14ac:dyDescent="0.25">
      <c r="A214" s="14">
        <v>7448394</v>
      </c>
      <c r="B214" s="15">
        <v>30500441</v>
      </c>
      <c r="C214" s="16">
        <v>14</v>
      </c>
      <c r="D214" s="16" t="s">
        <v>95</v>
      </c>
      <c r="E214" s="29">
        <v>46057</v>
      </c>
      <c r="F214" s="16" t="str">
        <f>IF($A214&lt;&gt;"",IF($F213="","DIRETO",""),"")</f>
        <v>DIRETO</v>
      </c>
      <c r="G214" s="16" t="str">
        <f>IF(F214="DIRETO","-","")</f>
        <v>-</v>
      </c>
      <c r="H214" s="16" t="s">
        <v>96</v>
      </c>
    </row>
    <row r="215" spans="1:10" ht="35.1" customHeight="1" x14ac:dyDescent="0.25">
      <c r="A215" s="14">
        <v>7448395</v>
      </c>
      <c r="B215" s="15" t="s">
        <v>75</v>
      </c>
      <c r="C215" s="16">
        <v>14</v>
      </c>
      <c r="D215" s="16" t="s">
        <v>95</v>
      </c>
      <c r="E215" s="29">
        <v>46057</v>
      </c>
      <c r="F215" s="16" t="str">
        <f>IF($A215&lt;&gt;"",IF($F213="","DIRETO",""),"")</f>
        <v>DIRETO</v>
      </c>
      <c r="G215" s="16" t="str">
        <f t="shared" ref="G215:G224" si="21">IF(F215="DIRETO","-","")</f>
        <v>-</v>
      </c>
      <c r="H215" s="16" t="s">
        <v>96</v>
      </c>
    </row>
    <row r="216" spans="1:10" ht="35.1" customHeight="1" x14ac:dyDescent="0.25">
      <c r="A216" s="14">
        <v>7448396</v>
      </c>
      <c r="B216" s="15">
        <v>30500446</v>
      </c>
      <c r="C216" s="16">
        <v>14</v>
      </c>
      <c r="D216" s="16" t="s">
        <v>95</v>
      </c>
      <c r="E216" s="29">
        <v>46056</v>
      </c>
      <c r="F216" s="16" t="str">
        <f>IF($A216&lt;&gt;"",IF($F213="","DIRETO",""),"")</f>
        <v>DIRETO</v>
      </c>
      <c r="G216" s="16" t="str">
        <f t="shared" si="21"/>
        <v>-</v>
      </c>
      <c r="H216" s="16" t="s">
        <v>96</v>
      </c>
      <c r="J216" s="5" t="str">
        <f>VLOOKUP(G211,Apoio!A$1:B236,2,0)</f>
        <v>LASER 40KW</v>
      </c>
    </row>
    <row r="217" spans="1:10" ht="35.1" customHeight="1" x14ac:dyDescent="0.25">
      <c r="A217" s="14">
        <v>7448397</v>
      </c>
      <c r="B217" s="15">
        <v>30500461</v>
      </c>
      <c r="C217" s="16">
        <v>14</v>
      </c>
      <c r="D217" s="16" t="s">
        <v>95</v>
      </c>
      <c r="E217" s="29">
        <v>46056</v>
      </c>
      <c r="F217" s="16" t="str">
        <f>IF($A217&lt;&gt;"",IF($F213="","DIRETO",""),"")</f>
        <v>DIRETO</v>
      </c>
      <c r="G217" s="16" t="str">
        <f t="shared" si="21"/>
        <v>-</v>
      </c>
      <c r="H217" s="16" t="s">
        <v>96</v>
      </c>
      <c r="J217" s="18" t="s">
        <v>21</v>
      </c>
    </row>
    <row r="218" spans="1:10" ht="35.1" customHeight="1" x14ac:dyDescent="0.25">
      <c r="A218" s="14">
        <v>7448398</v>
      </c>
      <c r="B218" s="16">
        <v>30500471</v>
      </c>
      <c r="C218" s="16">
        <v>5</v>
      </c>
      <c r="D218" s="16" t="s">
        <v>95</v>
      </c>
      <c r="E218" s="29">
        <v>46056</v>
      </c>
      <c r="F218" s="16" t="str">
        <f>IF($A218&lt;&gt;"",IF($F213="","DIRETO",""),"")</f>
        <v>DIRETO</v>
      </c>
      <c r="G218" s="16" t="str">
        <f t="shared" si="21"/>
        <v>-</v>
      </c>
      <c r="H218" s="16" t="s">
        <v>96</v>
      </c>
      <c r="J218" s="19">
        <f>COUNTIF(A214:A238,"&gt;7000000")</f>
        <v>16</v>
      </c>
    </row>
    <row r="219" spans="1:10" ht="35.1" customHeight="1" x14ac:dyDescent="0.25">
      <c r="A219" s="14">
        <v>7448399</v>
      </c>
      <c r="B219" s="16" t="s">
        <v>76</v>
      </c>
      <c r="C219" s="16">
        <v>5</v>
      </c>
      <c r="D219" s="16" t="s">
        <v>95</v>
      </c>
      <c r="E219" s="29">
        <v>46056</v>
      </c>
      <c r="F219" s="16" t="str">
        <f>IF($A219&lt;&gt;"",IF($F213="","DIRETO",""),"")</f>
        <v>DIRETO</v>
      </c>
      <c r="G219" s="16" t="str">
        <f t="shared" si="21"/>
        <v>-</v>
      </c>
      <c r="H219" s="16" t="s">
        <v>96</v>
      </c>
      <c r="J219" s="20" t="s">
        <v>22</v>
      </c>
    </row>
    <row r="220" spans="1:10" ht="35.1" customHeight="1" x14ac:dyDescent="0.25">
      <c r="A220" s="14">
        <v>7448400</v>
      </c>
      <c r="B220" s="16">
        <v>30500472</v>
      </c>
      <c r="C220" s="16">
        <v>10</v>
      </c>
      <c r="D220" s="16" t="s">
        <v>95</v>
      </c>
      <c r="E220" s="29">
        <v>46056</v>
      </c>
      <c r="F220" s="16" t="str">
        <f>IF($A220&lt;&gt;"",IF($F213="","DIRETO",""),"")</f>
        <v>DIRETO</v>
      </c>
      <c r="G220" s="16" t="str">
        <f t="shared" si="21"/>
        <v>-</v>
      </c>
      <c r="H220" s="16" t="s">
        <v>96</v>
      </c>
      <c r="J220" s="21">
        <f>COUNTIF(H214:H238,"ok*")</f>
        <v>16</v>
      </c>
    </row>
    <row r="221" spans="1:10" ht="35.1" customHeight="1" x14ac:dyDescent="0.25">
      <c r="A221" s="14">
        <v>7448401</v>
      </c>
      <c r="B221" s="16" t="s">
        <v>77</v>
      </c>
      <c r="C221" s="16">
        <v>4</v>
      </c>
      <c r="D221" s="16" t="s">
        <v>95</v>
      </c>
      <c r="E221" s="29">
        <v>46056</v>
      </c>
      <c r="F221" s="16" t="str">
        <f>IF($A221&lt;&gt;"",IF($F213="","DIRETO",""),"")</f>
        <v>DIRETO</v>
      </c>
      <c r="G221" s="16" t="str">
        <f t="shared" si="21"/>
        <v>-</v>
      </c>
      <c r="H221" s="16" t="s">
        <v>96</v>
      </c>
      <c r="J221" s="22" t="s">
        <v>23</v>
      </c>
    </row>
    <row r="222" spans="1:10" ht="35.1" customHeight="1" x14ac:dyDescent="0.25">
      <c r="A222" s="14">
        <v>7448402</v>
      </c>
      <c r="B222" s="16">
        <v>30500474</v>
      </c>
      <c r="C222" s="16">
        <v>14</v>
      </c>
      <c r="D222" s="16" t="s">
        <v>95</v>
      </c>
      <c r="E222" s="29">
        <v>46056</v>
      </c>
      <c r="F222" s="16" t="str">
        <f>IF($A222&lt;&gt;"",IF($F213="","DIRETO",""),"")</f>
        <v>DIRETO</v>
      </c>
      <c r="G222" s="16" t="str">
        <f t="shared" si="21"/>
        <v>-</v>
      </c>
      <c r="H222" s="16" t="s">
        <v>96</v>
      </c>
      <c r="J222" s="23">
        <f t="shared" ref="J222" si="22">J220/J218</f>
        <v>1</v>
      </c>
    </row>
    <row r="223" spans="1:10" ht="35.1" customHeight="1" x14ac:dyDescent="0.25">
      <c r="A223" s="14">
        <v>7448403</v>
      </c>
      <c r="B223" s="16" t="s">
        <v>78</v>
      </c>
      <c r="C223" s="16">
        <v>14</v>
      </c>
      <c r="D223" s="16" t="s">
        <v>95</v>
      </c>
      <c r="E223" s="29">
        <v>46057</v>
      </c>
      <c r="F223" s="16" t="str">
        <f>IF($A223&lt;&gt;"",IF($F213="","DIRETO",""),"")</f>
        <v>DIRETO</v>
      </c>
      <c r="G223" s="16" t="str">
        <f t="shared" si="21"/>
        <v>-</v>
      </c>
      <c r="H223" s="16" t="s">
        <v>96</v>
      </c>
    </row>
    <row r="224" spans="1:10" ht="35.1" customHeight="1" x14ac:dyDescent="0.25">
      <c r="A224" s="14">
        <v>7448405</v>
      </c>
      <c r="B224" s="16">
        <v>30500518</v>
      </c>
      <c r="C224" s="16">
        <v>7</v>
      </c>
      <c r="D224" s="16" t="s">
        <v>95</v>
      </c>
      <c r="E224" s="29">
        <v>46050</v>
      </c>
      <c r="F224" s="16" t="str">
        <f>IF($A224&lt;&gt;"",IF($F213="","DIRETO",""),"")</f>
        <v>DIRETO</v>
      </c>
      <c r="G224" s="16" t="str">
        <f t="shared" si="21"/>
        <v>-</v>
      </c>
      <c r="H224" s="16" t="s">
        <v>96</v>
      </c>
    </row>
    <row r="225" spans="1:10" ht="35.1" customHeight="1" x14ac:dyDescent="0.25">
      <c r="A225" s="13">
        <v>46036</v>
      </c>
      <c r="B225" s="33" t="s">
        <v>30</v>
      </c>
      <c r="C225" s="34"/>
      <c r="D225" s="34"/>
      <c r="E225" s="34"/>
      <c r="F225" s="35"/>
      <c r="G225" s="5">
        <v>350</v>
      </c>
      <c r="H225" s="5" t="str">
        <f>VLOOKUP(G225,Apoio!A$1:B250,2,0)</f>
        <v>LASER 40KW</v>
      </c>
    </row>
    <row r="226" spans="1:10" ht="35.1" customHeight="1" x14ac:dyDescent="0.25">
      <c r="A226" s="11"/>
      <c r="B226" s="6" t="s">
        <v>19</v>
      </c>
      <c r="C226" s="12"/>
      <c r="D226" s="30" t="s">
        <v>4</v>
      </c>
      <c r="E226" s="31"/>
      <c r="F226" s="31"/>
      <c r="G226" s="31"/>
      <c r="H226" s="32"/>
    </row>
    <row r="227" spans="1:10" ht="35.1" customHeight="1" x14ac:dyDescent="0.25">
      <c r="A227" s="3" t="s">
        <v>0</v>
      </c>
      <c r="B227" s="3" t="s">
        <v>2</v>
      </c>
      <c r="C227" s="3" t="s">
        <v>1</v>
      </c>
      <c r="D227" s="3" t="str">
        <f>IFERROR(VLOOKUP(G225,Apoio!F$1:G$43,2,0),"")</f>
        <v>LASER 40KW</v>
      </c>
      <c r="E227" s="4" t="s">
        <v>5</v>
      </c>
      <c r="F227" s="3" t="str">
        <f>IFERROR(VLOOKUP(G225,Apoio!H$1:I$44,2,0),"")</f>
        <v/>
      </c>
      <c r="G227" s="4" t="s">
        <v>5</v>
      </c>
      <c r="H227" s="4" t="s">
        <v>6</v>
      </c>
    </row>
    <row r="228" spans="1:10" ht="35.1" customHeight="1" x14ac:dyDescent="0.25">
      <c r="A228" s="14">
        <v>7448406</v>
      </c>
      <c r="B228" s="15" t="s">
        <v>79</v>
      </c>
      <c r="C228" s="16">
        <v>7</v>
      </c>
      <c r="D228" s="16" t="s">
        <v>95</v>
      </c>
      <c r="E228" s="29">
        <v>46050</v>
      </c>
      <c r="F228" s="16" t="str">
        <f>IF($A228&lt;&gt;"",IF($F227="","DIRETO",""),"")</f>
        <v>DIRETO</v>
      </c>
      <c r="G228" s="16" t="str">
        <f>IF(F228="DIRETO","-","")</f>
        <v>-</v>
      </c>
      <c r="H228" s="16" t="s">
        <v>96</v>
      </c>
    </row>
    <row r="229" spans="1:10" ht="35.1" customHeight="1" x14ac:dyDescent="0.25">
      <c r="A229" s="14">
        <v>7448407</v>
      </c>
      <c r="B229" s="15" t="s">
        <v>80</v>
      </c>
      <c r="C229" s="16">
        <v>7</v>
      </c>
      <c r="D229" s="16" t="s">
        <v>95</v>
      </c>
      <c r="E229" s="29">
        <v>46057</v>
      </c>
      <c r="F229" s="16" t="str">
        <f>IF($A229&lt;&gt;"",IF($F227="","DIRETO",""),"")</f>
        <v>DIRETO</v>
      </c>
      <c r="G229" s="16" t="str">
        <f t="shared" ref="G229:G238" si="23">IF(F229="DIRETO","-","")</f>
        <v>-</v>
      </c>
      <c r="H229" s="16" t="s">
        <v>96</v>
      </c>
    </row>
    <row r="230" spans="1:10" ht="35.1" customHeight="1" x14ac:dyDescent="0.25">
      <c r="A230" s="14">
        <v>7448408</v>
      </c>
      <c r="B230" s="15">
        <v>30502306</v>
      </c>
      <c r="C230" s="16">
        <v>2</v>
      </c>
      <c r="D230" s="16" t="s">
        <v>95</v>
      </c>
      <c r="E230" s="29">
        <v>46057</v>
      </c>
      <c r="F230" s="16" t="str">
        <f>IF($A230&lt;&gt;"",IF($F227="","DIRETO",""),"")</f>
        <v>DIRETO</v>
      </c>
      <c r="G230" s="16" t="str">
        <f t="shared" si="23"/>
        <v>-</v>
      </c>
      <c r="H230" s="16" t="s">
        <v>96</v>
      </c>
      <c r="J230" s="10"/>
    </row>
    <row r="231" spans="1:10" ht="35.1" customHeight="1" x14ac:dyDescent="0.25">
      <c r="A231" s="14">
        <v>7448409</v>
      </c>
      <c r="B231" s="15" t="s">
        <v>81</v>
      </c>
      <c r="C231" s="16">
        <v>2</v>
      </c>
      <c r="D231" s="16" t="s">
        <v>95</v>
      </c>
      <c r="E231" s="29">
        <v>46057</v>
      </c>
      <c r="F231" s="16" t="str">
        <f>IF($A231&lt;&gt;"",IF($F227="","DIRETO",""),"")</f>
        <v>DIRETO</v>
      </c>
      <c r="G231" s="16" t="str">
        <f t="shared" si="23"/>
        <v>-</v>
      </c>
      <c r="H231" s="16" t="s">
        <v>96</v>
      </c>
      <c r="J231" s="10"/>
    </row>
    <row r="232" spans="1:10" ht="35.1" customHeight="1" x14ac:dyDescent="0.25">
      <c r="A232" s="14">
        <v>7448410</v>
      </c>
      <c r="B232" s="16">
        <v>30502326</v>
      </c>
      <c r="C232" s="16">
        <v>4</v>
      </c>
      <c r="D232" s="16" t="s">
        <v>95</v>
      </c>
      <c r="E232" s="29">
        <v>46057</v>
      </c>
      <c r="F232" s="16" t="str">
        <f>IF($A232&lt;&gt;"",IF($F227="","DIRETO",""),"")</f>
        <v>DIRETO</v>
      </c>
      <c r="G232" s="16" t="str">
        <f t="shared" si="23"/>
        <v>-</v>
      </c>
      <c r="H232" s="16" t="s">
        <v>96</v>
      </c>
      <c r="J232" s="10"/>
    </row>
    <row r="233" spans="1:10" ht="35.1" customHeight="1" x14ac:dyDescent="0.25">
      <c r="A233" s="14"/>
      <c r="B233" s="16"/>
      <c r="C233" s="16"/>
      <c r="D233" s="16"/>
      <c r="E233" s="16"/>
      <c r="F233" s="16" t="str">
        <f>IF($A233&lt;&gt;"",IF($F227="","DIRETO",""),"")</f>
        <v/>
      </c>
      <c r="G233" s="16" t="str">
        <f t="shared" si="23"/>
        <v/>
      </c>
      <c r="H233" s="16"/>
      <c r="J233" s="10"/>
    </row>
    <row r="234" spans="1:10" ht="35.1" customHeight="1" x14ac:dyDescent="0.25">
      <c r="A234" s="14"/>
      <c r="B234" s="16"/>
      <c r="C234" s="16"/>
      <c r="D234" s="16"/>
      <c r="E234" s="16"/>
      <c r="F234" s="16" t="str">
        <f>IF($A234&lt;&gt;"",IF($F227="","DIRETO",""),"")</f>
        <v/>
      </c>
      <c r="G234" s="16" t="str">
        <f t="shared" si="23"/>
        <v/>
      </c>
      <c r="H234" s="16"/>
      <c r="J234" s="10"/>
    </row>
    <row r="235" spans="1:10" ht="35.1" customHeight="1" x14ac:dyDescent="0.25">
      <c r="A235" s="14"/>
      <c r="B235" s="16"/>
      <c r="C235" s="16"/>
      <c r="D235" s="16"/>
      <c r="E235" s="16"/>
      <c r="F235" s="16" t="str">
        <f>IF($A235&lt;&gt;"",IF($F227="","DIRETO",""),"")</f>
        <v/>
      </c>
      <c r="G235" s="16" t="str">
        <f t="shared" si="23"/>
        <v/>
      </c>
      <c r="H235" s="16"/>
      <c r="J235" s="10"/>
    </row>
    <row r="236" spans="1:10" ht="35.1" customHeight="1" x14ac:dyDescent="0.25">
      <c r="A236" s="14"/>
      <c r="B236" s="16"/>
      <c r="C236" s="16"/>
      <c r="D236" s="16"/>
      <c r="E236" s="16"/>
      <c r="F236" s="16" t="str">
        <f>IF($A236&lt;&gt;"",IF($F227="","DIRETO",""),"")</f>
        <v/>
      </c>
      <c r="G236" s="16" t="str">
        <f t="shared" si="23"/>
        <v/>
      </c>
      <c r="H236" s="16"/>
      <c r="J236" s="10"/>
    </row>
    <row r="237" spans="1:10" ht="35.1" customHeight="1" x14ac:dyDescent="0.25">
      <c r="A237" s="14"/>
      <c r="B237" s="16"/>
      <c r="C237" s="16"/>
      <c r="D237" s="16"/>
      <c r="E237" s="16"/>
      <c r="F237" s="16" t="str">
        <f>IF($A237&lt;&gt;"",IF($F227="","DIRETO",""),"")</f>
        <v/>
      </c>
      <c r="G237" s="16" t="str">
        <f t="shared" si="23"/>
        <v/>
      </c>
      <c r="H237" s="16"/>
    </row>
    <row r="238" spans="1:10" ht="35.1" customHeight="1" x14ac:dyDescent="0.25">
      <c r="A238" s="14"/>
      <c r="B238" s="16"/>
      <c r="C238" s="16"/>
      <c r="D238" s="16"/>
      <c r="E238" s="16"/>
      <c r="F238" s="16" t="str">
        <f>IF($A238&lt;&gt;"",IF($F227="","DIRETO",""),"")</f>
        <v/>
      </c>
      <c r="G238" s="16" t="str">
        <f t="shared" si="23"/>
        <v/>
      </c>
      <c r="H238" s="16"/>
    </row>
    <row r="239" spans="1:10" ht="35.1" customHeight="1" x14ac:dyDescent="0.25">
      <c r="A239" s="13">
        <v>46036</v>
      </c>
      <c r="B239" s="33" t="s">
        <v>30</v>
      </c>
      <c r="C239" s="34"/>
      <c r="D239" s="34"/>
      <c r="E239" s="34"/>
      <c r="F239" s="35"/>
      <c r="G239" s="5">
        <v>351</v>
      </c>
      <c r="H239" s="5" t="str">
        <f>VLOOKUP(G239,Apoio!A$1:B264,2,0)</f>
        <v>LASER 40KW/USINAGEM</v>
      </c>
    </row>
    <row r="240" spans="1:10" ht="35.1" customHeight="1" x14ac:dyDescent="0.25">
      <c r="A240" s="11"/>
      <c r="B240" s="6" t="s">
        <v>19</v>
      </c>
      <c r="C240" s="12"/>
      <c r="D240" s="30" t="s">
        <v>4</v>
      </c>
      <c r="E240" s="31"/>
      <c r="F240" s="31"/>
      <c r="G240" s="31"/>
      <c r="H240" s="32"/>
    </row>
    <row r="241" spans="1:10" ht="35.1" customHeight="1" x14ac:dyDescent="0.25">
      <c r="A241" s="3" t="s">
        <v>0</v>
      </c>
      <c r="B241" s="3" t="s">
        <v>2</v>
      </c>
      <c r="C241" s="3" t="s">
        <v>1</v>
      </c>
      <c r="D241" s="3" t="str">
        <f>IFERROR(VLOOKUP(G239,Apoio!F$1:G$43,2,0),"")</f>
        <v>LASER 40KW</v>
      </c>
      <c r="E241" s="4" t="s">
        <v>5</v>
      </c>
      <c r="F241" s="3" t="str">
        <f>IFERROR(VLOOKUP(G239,Apoio!H$1:I$44,2,0),"")</f>
        <v>USINAGEM</v>
      </c>
      <c r="G241" s="4" t="s">
        <v>5</v>
      </c>
      <c r="H241" s="4" t="s">
        <v>6</v>
      </c>
    </row>
    <row r="242" spans="1:10" ht="35.1" customHeight="1" x14ac:dyDescent="0.25">
      <c r="A242" s="14">
        <v>7448411</v>
      </c>
      <c r="B242" s="15">
        <v>30500103</v>
      </c>
      <c r="C242" s="16">
        <v>14</v>
      </c>
      <c r="D242" s="16" t="s">
        <v>95</v>
      </c>
      <c r="E242" s="29">
        <v>46062</v>
      </c>
      <c r="F242" s="16" t="str">
        <f>IF($A242&lt;&gt;"",IF($F241="","DIRETO",""),"")</f>
        <v/>
      </c>
      <c r="G242" s="16" t="str">
        <f>IF(F242="DIRETO","-","")</f>
        <v/>
      </c>
      <c r="H242" s="16" t="s">
        <v>96</v>
      </c>
    </row>
    <row r="243" spans="1:10" ht="35.1" customHeight="1" x14ac:dyDescent="0.25">
      <c r="A243" s="14"/>
      <c r="B243" s="15"/>
      <c r="C243" s="16"/>
      <c r="D243" s="16"/>
      <c r="E243" s="16"/>
      <c r="F243" s="16" t="str">
        <f>IF($A243&lt;&gt;"",IF($F241="","DIRETO",""),"")</f>
        <v/>
      </c>
      <c r="G243" s="16" t="str">
        <f t="shared" ref="G243:G252" si="24">IF(F243="DIRETO","-","")</f>
        <v/>
      </c>
      <c r="H243" s="16"/>
    </row>
    <row r="244" spans="1:10" ht="35.1" customHeight="1" x14ac:dyDescent="0.25">
      <c r="A244" s="14"/>
      <c r="B244" s="15"/>
      <c r="C244" s="16"/>
      <c r="D244" s="16"/>
      <c r="E244" s="16"/>
      <c r="F244" s="16" t="str">
        <f>IF($A244&lt;&gt;"",IF($F241="","DIRETO",""),"")</f>
        <v/>
      </c>
      <c r="G244" s="16" t="str">
        <f t="shared" si="24"/>
        <v/>
      </c>
      <c r="H244" s="16"/>
      <c r="J244" s="5" t="str">
        <f>VLOOKUP(G239,Apoio!A$1:B264,2,0)</f>
        <v>LASER 40KW/USINAGEM</v>
      </c>
    </row>
    <row r="245" spans="1:10" ht="35.1" customHeight="1" x14ac:dyDescent="0.25">
      <c r="A245" s="14"/>
      <c r="B245" s="15"/>
      <c r="C245" s="16"/>
      <c r="D245" s="16"/>
      <c r="E245" s="16"/>
      <c r="F245" s="16" t="str">
        <f>IF($A245&lt;&gt;"",IF($F241="","DIRETO",""),"")</f>
        <v/>
      </c>
      <c r="G245" s="16" t="str">
        <f t="shared" si="24"/>
        <v/>
      </c>
      <c r="H245" s="16"/>
      <c r="J245" s="18" t="s">
        <v>21</v>
      </c>
    </row>
    <row r="246" spans="1:10" ht="35.1" customHeight="1" x14ac:dyDescent="0.25">
      <c r="A246" s="14"/>
      <c r="B246" s="16"/>
      <c r="C246" s="16"/>
      <c r="D246" s="16"/>
      <c r="E246" s="16"/>
      <c r="F246" s="16" t="str">
        <f>IF($A246&lt;&gt;"",IF($F241="","DIRETO",""),"")</f>
        <v/>
      </c>
      <c r="G246" s="16" t="str">
        <f t="shared" si="24"/>
        <v/>
      </c>
      <c r="H246" s="16"/>
      <c r="J246" s="19">
        <f t="shared" ref="J246" si="25">COUNTIF(A242:A252,"&gt;7000000")</f>
        <v>1</v>
      </c>
    </row>
    <row r="247" spans="1:10" ht="35.1" customHeight="1" x14ac:dyDescent="0.25">
      <c r="A247" s="14"/>
      <c r="B247" s="16"/>
      <c r="C247" s="16"/>
      <c r="D247" s="16"/>
      <c r="E247" s="16"/>
      <c r="F247" s="16" t="str">
        <f>IF($A247&lt;&gt;"",IF($F241="","DIRETO",""),"")</f>
        <v/>
      </c>
      <c r="G247" s="16" t="str">
        <f t="shared" si="24"/>
        <v/>
      </c>
      <c r="H247" s="16"/>
      <c r="J247" s="20" t="s">
        <v>22</v>
      </c>
    </row>
    <row r="248" spans="1:10" ht="35.1" customHeight="1" x14ac:dyDescent="0.25">
      <c r="A248" s="14"/>
      <c r="B248" s="16"/>
      <c r="C248" s="16"/>
      <c r="D248" s="16"/>
      <c r="E248" s="16"/>
      <c r="F248" s="16" t="str">
        <f>IF($A248&lt;&gt;"",IF($F241="","DIRETO",""),"")</f>
        <v/>
      </c>
      <c r="G248" s="16" t="str">
        <f t="shared" si="24"/>
        <v/>
      </c>
      <c r="H248" s="16"/>
      <c r="J248" s="21">
        <f>COUNTIF(H242:H252,"ok*")</f>
        <v>1</v>
      </c>
    </row>
    <row r="249" spans="1:10" ht="35.1" customHeight="1" x14ac:dyDescent="0.25">
      <c r="A249" s="14"/>
      <c r="B249" s="16"/>
      <c r="C249" s="16"/>
      <c r="D249" s="16"/>
      <c r="E249" s="16"/>
      <c r="F249" s="16" t="str">
        <f>IF($A249&lt;&gt;"",IF($F241="","DIRETO",""),"")</f>
        <v/>
      </c>
      <c r="G249" s="16" t="str">
        <f t="shared" si="24"/>
        <v/>
      </c>
      <c r="H249" s="16"/>
      <c r="J249" s="22" t="s">
        <v>23</v>
      </c>
    </row>
    <row r="250" spans="1:10" ht="35.1" customHeight="1" x14ac:dyDescent="0.25">
      <c r="A250" s="14"/>
      <c r="B250" s="16"/>
      <c r="C250" s="16"/>
      <c r="D250" s="16"/>
      <c r="E250" s="16"/>
      <c r="F250" s="16" t="str">
        <f>IF($A250&lt;&gt;"",IF($F241="","DIRETO",""),"")</f>
        <v/>
      </c>
      <c r="G250" s="16" t="str">
        <f t="shared" si="24"/>
        <v/>
      </c>
      <c r="H250" s="16"/>
      <c r="J250" s="23">
        <f t="shared" ref="J250" si="26">J248/J246</f>
        <v>1</v>
      </c>
    </row>
    <row r="251" spans="1:10" ht="35.1" customHeight="1" x14ac:dyDescent="0.25">
      <c r="A251" s="14"/>
      <c r="B251" s="16"/>
      <c r="C251" s="16"/>
      <c r="D251" s="16"/>
      <c r="E251" s="16"/>
      <c r="F251" s="16" t="str">
        <f>IF($A251&lt;&gt;"",IF($F241="","DIRETO",""),"")</f>
        <v/>
      </c>
      <c r="G251" s="16" t="str">
        <f t="shared" si="24"/>
        <v/>
      </c>
      <c r="H251" s="16"/>
    </row>
    <row r="252" spans="1:10" ht="35.1" customHeight="1" x14ac:dyDescent="0.25">
      <c r="A252" s="14"/>
      <c r="B252" s="16"/>
      <c r="C252" s="16"/>
      <c r="D252" s="16"/>
      <c r="E252" s="16"/>
      <c r="F252" s="16" t="str">
        <f>IF($A252&lt;&gt;"",IF($F241="","DIRETO",""),"")</f>
        <v/>
      </c>
      <c r="G252" s="16" t="str">
        <f t="shared" si="24"/>
        <v/>
      </c>
      <c r="H252" s="16"/>
    </row>
    <row r="253" spans="1:10" ht="35.1" customHeight="1" x14ac:dyDescent="0.25">
      <c r="A253" s="13">
        <v>46036</v>
      </c>
      <c r="B253" s="33" t="s">
        <v>30</v>
      </c>
      <c r="C253" s="34"/>
      <c r="D253" s="34"/>
      <c r="E253" s="34"/>
      <c r="F253" s="35"/>
      <c r="G253" s="5">
        <v>360</v>
      </c>
      <c r="H253" s="5" t="str">
        <f>VLOOKUP(G253,Apoio!A$1:B278,2,0)</f>
        <v>SERRA</v>
      </c>
    </row>
    <row r="254" spans="1:10" ht="35.1" customHeight="1" x14ac:dyDescent="0.25">
      <c r="A254" s="11"/>
      <c r="B254" s="6" t="s">
        <v>19</v>
      </c>
      <c r="C254" s="12"/>
      <c r="D254" s="30" t="s">
        <v>4</v>
      </c>
      <c r="E254" s="31"/>
      <c r="F254" s="31"/>
      <c r="G254" s="31"/>
      <c r="H254" s="32"/>
    </row>
    <row r="255" spans="1:10" ht="35.1" customHeight="1" x14ac:dyDescent="0.25">
      <c r="A255" s="3" t="s">
        <v>0</v>
      </c>
      <c r="B255" s="3" t="s">
        <v>2</v>
      </c>
      <c r="C255" s="3" t="s">
        <v>1</v>
      </c>
      <c r="D255" s="3" t="str">
        <f>IFERROR(VLOOKUP(G253,Apoio!F$1:G$43,2,0),"")</f>
        <v>SERRA</v>
      </c>
      <c r="E255" s="4" t="s">
        <v>5</v>
      </c>
      <c r="F255" s="3" t="str">
        <f>IFERROR(VLOOKUP(G253,Apoio!H$1:I$44,2,0),"")</f>
        <v/>
      </c>
      <c r="G255" s="4" t="s">
        <v>5</v>
      </c>
      <c r="H255" s="4" t="s">
        <v>6</v>
      </c>
    </row>
    <row r="256" spans="1:10" ht="35.1" customHeight="1" x14ac:dyDescent="0.25">
      <c r="A256" s="14">
        <v>7448412</v>
      </c>
      <c r="B256" s="15">
        <v>30500098</v>
      </c>
      <c r="C256" s="16">
        <v>7</v>
      </c>
      <c r="D256" s="16" t="s">
        <v>95</v>
      </c>
      <c r="E256" s="29">
        <v>46050</v>
      </c>
      <c r="F256" s="16" t="str">
        <f>IF($A256&lt;&gt;"",IF($F255="","DIRETO",""),"")</f>
        <v>DIRETO</v>
      </c>
      <c r="G256" s="16" t="str">
        <f>IF(F256="DIRETO","-","")</f>
        <v>-</v>
      </c>
      <c r="H256" s="16" t="s">
        <v>96</v>
      </c>
    </row>
    <row r="257" spans="1:10" ht="35.1" customHeight="1" x14ac:dyDescent="0.25">
      <c r="A257" s="14">
        <v>7448413</v>
      </c>
      <c r="B257" s="15">
        <v>30500099</v>
      </c>
      <c r="C257" s="16">
        <v>7</v>
      </c>
      <c r="D257" s="16" t="s">
        <v>95</v>
      </c>
      <c r="E257" s="29">
        <v>46050</v>
      </c>
      <c r="F257" s="16" t="str">
        <f>IF($A257&lt;&gt;"",IF($F255="","DIRETO",""),"")</f>
        <v>DIRETO</v>
      </c>
      <c r="G257" s="16" t="str">
        <f t="shared" ref="G257:G266" si="27">IF(F257="DIRETO","-","")</f>
        <v>-</v>
      </c>
      <c r="H257" s="16" t="s">
        <v>96</v>
      </c>
    </row>
    <row r="258" spans="1:10" ht="35.1" customHeight="1" x14ac:dyDescent="0.25">
      <c r="A258" s="14">
        <v>7448414</v>
      </c>
      <c r="B258" s="15">
        <v>30500459</v>
      </c>
      <c r="C258" s="16">
        <v>7</v>
      </c>
      <c r="D258" s="16" t="s">
        <v>95</v>
      </c>
      <c r="E258" s="29">
        <v>46057</v>
      </c>
      <c r="F258" s="16" t="str">
        <f>IF($A258&lt;&gt;"",IF($F255="","DIRETO",""),"")</f>
        <v>DIRETO</v>
      </c>
      <c r="G258" s="16" t="str">
        <f t="shared" si="27"/>
        <v>-</v>
      </c>
      <c r="H258" s="16" t="s">
        <v>96</v>
      </c>
      <c r="J258" s="5" t="str">
        <f>VLOOKUP(G253,Apoio!A$1:B278,2,0)</f>
        <v>SERRA</v>
      </c>
    </row>
    <row r="259" spans="1:10" ht="35.1" customHeight="1" x14ac:dyDescent="0.25">
      <c r="A259" s="14">
        <v>7448415</v>
      </c>
      <c r="B259" s="15">
        <v>30500467</v>
      </c>
      <c r="C259" s="16">
        <v>7</v>
      </c>
      <c r="D259" s="16" t="s">
        <v>95</v>
      </c>
      <c r="E259" s="29">
        <v>46051</v>
      </c>
      <c r="F259" s="16" t="str">
        <f>IF($A259&lt;&gt;"",IF($F255="","DIRETO",""),"")</f>
        <v>DIRETO</v>
      </c>
      <c r="G259" s="16" t="str">
        <f t="shared" si="27"/>
        <v>-</v>
      </c>
      <c r="H259" s="16" t="s">
        <v>96</v>
      </c>
      <c r="J259" s="18" t="s">
        <v>21</v>
      </c>
    </row>
    <row r="260" spans="1:10" ht="35.1" customHeight="1" x14ac:dyDescent="0.25">
      <c r="A260" s="14">
        <v>7448416</v>
      </c>
      <c r="B260" s="16">
        <v>30500492</v>
      </c>
      <c r="C260" s="16">
        <v>14</v>
      </c>
      <c r="D260" s="16" t="s">
        <v>95</v>
      </c>
      <c r="E260" s="29">
        <v>46044</v>
      </c>
      <c r="F260" s="16" t="s">
        <v>9</v>
      </c>
      <c r="G260" s="29">
        <v>46045</v>
      </c>
      <c r="H260" s="16" t="s">
        <v>96</v>
      </c>
      <c r="J260" s="19">
        <f>COUNTIF(A256:A280,"&gt;7000000")</f>
        <v>16</v>
      </c>
    </row>
    <row r="261" spans="1:10" ht="35.1" customHeight="1" x14ac:dyDescent="0.25">
      <c r="A261" s="14">
        <v>7448417</v>
      </c>
      <c r="B261" s="16">
        <v>30500521</v>
      </c>
      <c r="C261" s="16">
        <v>28</v>
      </c>
      <c r="D261" s="16" t="s">
        <v>95</v>
      </c>
      <c r="E261" s="29">
        <v>46050</v>
      </c>
      <c r="F261" s="16" t="s">
        <v>9</v>
      </c>
      <c r="G261" s="29">
        <v>46051</v>
      </c>
      <c r="H261" s="16" t="s">
        <v>96</v>
      </c>
      <c r="J261" s="20" t="s">
        <v>22</v>
      </c>
    </row>
    <row r="262" spans="1:10" ht="35.1" customHeight="1" x14ac:dyDescent="0.25">
      <c r="A262" s="14">
        <v>7448418</v>
      </c>
      <c r="B262" s="16">
        <v>30500522</v>
      </c>
      <c r="C262" s="16">
        <v>48</v>
      </c>
      <c r="D262" s="16" t="s">
        <v>95</v>
      </c>
      <c r="E262" s="29">
        <v>46057</v>
      </c>
      <c r="F262" s="16" t="str">
        <f>IF($A262&lt;&gt;"",IF($F255="","DIRETO",""),"")</f>
        <v>DIRETO</v>
      </c>
      <c r="G262" s="16" t="str">
        <f t="shared" si="27"/>
        <v>-</v>
      </c>
      <c r="H262" s="16" t="s">
        <v>96</v>
      </c>
      <c r="J262" s="21">
        <f>COUNTIF(H256:H280,"ok*")</f>
        <v>16</v>
      </c>
    </row>
    <row r="263" spans="1:10" ht="35.1" customHeight="1" x14ac:dyDescent="0.25">
      <c r="A263" s="14">
        <v>7448419</v>
      </c>
      <c r="B263" s="16">
        <v>30500714</v>
      </c>
      <c r="C263" s="16">
        <v>15</v>
      </c>
      <c r="D263" s="16" t="s">
        <v>95</v>
      </c>
      <c r="E263" s="29">
        <v>46050</v>
      </c>
      <c r="F263" s="16" t="str">
        <f>IF($A263&lt;&gt;"",IF($F255="","DIRETO",""),"")</f>
        <v>DIRETO</v>
      </c>
      <c r="G263" s="16" t="str">
        <f t="shared" si="27"/>
        <v>-</v>
      </c>
      <c r="H263" s="16" t="s">
        <v>96</v>
      </c>
      <c r="J263" s="22" t="s">
        <v>23</v>
      </c>
    </row>
    <row r="264" spans="1:10" ht="35.1" customHeight="1" x14ac:dyDescent="0.25">
      <c r="A264" s="14">
        <v>7448420</v>
      </c>
      <c r="B264" s="16">
        <v>30500947</v>
      </c>
      <c r="C264" s="16">
        <v>35</v>
      </c>
      <c r="D264" s="16" t="s">
        <v>95</v>
      </c>
      <c r="E264" s="29">
        <v>46050</v>
      </c>
      <c r="F264" s="16" t="str">
        <f>IF($A264&lt;&gt;"",IF($F255="","DIRETO",""),"")</f>
        <v>DIRETO</v>
      </c>
      <c r="G264" s="16" t="str">
        <f t="shared" si="27"/>
        <v>-</v>
      </c>
      <c r="H264" s="16" t="s">
        <v>96</v>
      </c>
      <c r="J264" s="23">
        <f t="shared" ref="J264" si="28">J262/J260</f>
        <v>1</v>
      </c>
    </row>
    <row r="265" spans="1:10" ht="35.1" customHeight="1" x14ac:dyDescent="0.25">
      <c r="A265" s="14">
        <v>7448421</v>
      </c>
      <c r="B265" s="16">
        <v>30501000</v>
      </c>
      <c r="C265" s="16">
        <v>35</v>
      </c>
      <c r="D265" s="16" t="s">
        <v>95</v>
      </c>
      <c r="E265" s="29">
        <v>46057</v>
      </c>
      <c r="F265" s="16" t="str">
        <f>IF($A265&lt;&gt;"",IF($F255="","DIRETO",""),"")</f>
        <v>DIRETO</v>
      </c>
      <c r="G265" s="16" t="str">
        <f t="shared" si="27"/>
        <v>-</v>
      </c>
      <c r="H265" s="16" t="s">
        <v>96</v>
      </c>
    </row>
    <row r="266" spans="1:10" ht="35.1" customHeight="1" x14ac:dyDescent="0.25">
      <c r="A266" s="14">
        <v>7448422</v>
      </c>
      <c r="B266" s="16">
        <v>30502300</v>
      </c>
      <c r="C266" s="16">
        <v>4</v>
      </c>
      <c r="D266" s="16" t="s">
        <v>95</v>
      </c>
      <c r="E266" s="29">
        <v>46057</v>
      </c>
      <c r="F266" s="16" t="str">
        <f>IF($A266&lt;&gt;"",IF($F255="","DIRETO",""),"")</f>
        <v>DIRETO</v>
      </c>
      <c r="G266" s="16" t="str">
        <f t="shared" si="27"/>
        <v>-</v>
      </c>
      <c r="H266" s="16" t="s">
        <v>96</v>
      </c>
    </row>
    <row r="267" spans="1:10" ht="35.1" customHeight="1" x14ac:dyDescent="0.25">
      <c r="A267" s="13">
        <v>46036</v>
      </c>
      <c r="B267" s="33" t="s">
        <v>30</v>
      </c>
      <c r="C267" s="34"/>
      <c r="D267" s="34"/>
      <c r="E267" s="34"/>
      <c r="F267" s="35"/>
      <c r="G267" s="5">
        <v>360</v>
      </c>
      <c r="H267" s="5" t="str">
        <f>VLOOKUP(G267,Apoio!A$1:B292,2,0)</f>
        <v>SERRA</v>
      </c>
    </row>
    <row r="268" spans="1:10" ht="35.1" customHeight="1" x14ac:dyDescent="0.25">
      <c r="A268" s="11"/>
      <c r="B268" s="6" t="s">
        <v>19</v>
      </c>
      <c r="C268" s="12"/>
      <c r="D268" s="30" t="s">
        <v>4</v>
      </c>
      <c r="E268" s="31"/>
      <c r="F268" s="31"/>
      <c r="G268" s="31"/>
      <c r="H268" s="32"/>
    </row>
    <row r="269" spans="1:10" ht="35.1" customHeight="1" x14ac:dyDescent="0.25">
      <c r="A269" s="3" t="s">
        <v>0</v>
      </c>
      <c r="B269" s="3" t="s">
        <v>2</v>
      </c>
      <c r="C269" s="3" t="s">
        <v>1</v>
      </c>
      <c r="D269" s="3" t="str">
        <f>IFERROR(VLOOKUP(G267,Apoio!F$1:G$43,2,0),"")</f>
        <v>SERRA</v>
      </c>
      <c r="E269" s="4" t="s">
        <v>5</v>
      </c>
      <c r="F269" s="3" t="str">
        <f>IFERROR(VLOOKUP(G267,Apoio!H$1:I$44,2,0),"")</f>
        <v/>
      </c>
      <c r="G269" s="4" t="s">
        <v>5</v>
      </c>
      <c r="H269" s="4" t="s">
        <v>6</v>
      </c>
    </row>
    <row r="270" spans="1:10" ht="35.1" customHeight="1" x14ac:dyDescent="0.25">
      <c r="A270" s="14">
        <v>7448423</v>
      </c>
      <c r="B270" s="15">
        <v>30502301</v>
      </c>
      <c r="C270" s="16">
        <v>2</v>
      </c>
      <c r="D270" s="16" t="s">
        <v>95</v>
      </c>
      <c r="E270" s="29">
        <v>46057</v>
      </c>
      <c r="F270" s="16" t="str">
        <f>IF($A270&lt;&gt;"",IF($F269="","DIRETO",""),"")</f>
        <v>DIRETO</v>
      </c>
      <c r="G270" s="16" t="str">
        <f>IF(F270="DIRETO","-","")</f>
        <v>-</v>
      </c>
      <c r="H270" s="16" t="s">
        <v>96</v>
      </c>
    </row>
    <row r="271" spans="1:10" ht="35.1" customHeight="1" x14ac:dyDescent="0.25">
      <c r="A271" s="14">
        <v>7448424</v>
      </c>
      <c r="B271" s="15" t="s">
        <v>82</v>
      </c>
      <c r="C271" s="16">
        <v>2</v>
      </c>
      <c r="D271" s="16" t="s">
        <v>95</v>
      </c>
      <c r="E271" s="29">
        <v>46048</v>
      </c>
      <c r="F271" s="16" t="str">
        <f>IF($A271&lt;&gt;"",IF($F269="","DIRETO",""),"")</f>
        <v>DIRETO</v>
      </c>
      <c r="G271" s="16" t="str">
        <f t="shared" ref="G271:G280" si="29">IF(F271="DIRETO","-","")</f>
        <v>-</v>
      </c>
      <c r="H271" s="16" t="s">
        <v>96</v>
      </c>
    </row>
    <row r="272" spans="1:10" ht="35.1" customHeight="1" x14ac:dyDescent="0.25">
      <c r="A272" s="14">
        <v>7448425</v>
      </c>
      <c r="B272" s="15" t="s">
        <v>83</v>
      </c>
      <c r="C272" s="16">
        <v>4</v>
      </c>
      <c r="D272" s="16" t="s">
        <v>95</v>
      </c>
      <c r="E272" s="29">
        <v>46045</v>
      </c>
      <c r="F272" s="16" t="str">
        <f>IF($A272&lt;&gt;"",IF($F269="","DIRETO",""),"")</f>
        <v>DIRETO</v>
      </c>
      <c r="G272" s="16" t="str">
        <f t="shared" si="29"/>
        <v>-</v>
      </c>
      <c r="H272" s="16" t="s">
        <v>96</v>
      </c>
      <c r="J272" s="10"/>
    </row>
    <row r="273" spans="1:10" ht="35.1" customHeight="1" x14ac:dyDescent="0.25">
      <c r="A273" s="14">
        <v>7448426</v>
      </c>
      <c r="B273" s="15">
        <v>30502343</v>
      </c>
      <c r="C273" s="16">
        <v>2</v>
      </c>
      <c r="D273" s="16" t="s">
        <v>95</v>
      </c>
      <c r="E273" s="29">
        <v>46050</v>
      </c>
      <c r="F273" s="16" t="str">
        <f>IF($A273&lt;&gt;"",IF($F269="","DIRETO",""),"")</f>
        <v>DIRETO</v>
      </c>
      <c r="G273" s="16" t="str">
        <f t="shared" si="29"/>
        <v>-</v>
      </c>
      <c r="H273" s="16" t="s">
        <v>96</v>
      </c>
      <c r="J273" s="10"/>
    </row>
    <row r="274" spans="1:10" ht="35.1" customHeight="1" x14ac:dyDescent="0.25">
      <c r="A274" s="14">
        <v>7448427</v>
      </c>
      <c r="B274" s="16">
        <v>30509181</v>
      </c>
      <c r="C274" s="16">
        <v>14</v>
      </c>
      <c r="D274" s="16" t="s">
        <v>95</v>
      </c>
      <c r="E274" s="29">
        <v>46057</v>
      </c>
      <c r="F274" s="16" t="str">
        <f>IF($A274&lt;&gt;"",IF($F269="","DIRETO",""),"")</f>
        <v>DIRETO</v>
      </c>
      <c r="G274" s="16" t="str">
        <f t="shared" si="29"/>
        <v>-</v>
      </c>
      <c r="H274" s="16" t="s">
        <v>96</v>
      </c>
      <c r="J274" s="10"/>
    </row>
    <row r="275" spans="1:10" ht="35.1" customHeight="1" x14ac:dyDescent="0.25">
      <c r="A275" s="14"/>
      <c r="B275" s="16"/>
      <c r="C275" s="16"/>
      <c r="D275" s="16"/>
      <c r="E275" s="16"/>
      <c r="F275" s="16" t="str">
        <f>IF($A275&lt;&gt;"",IF($F269="","DIRETO",""),"")</f>
        <v/>
      </c>
      <c r="G275" s="16" t="str">
        <f t="shared" si="29"/>
        <v/>
      </c>
      <c r="H275" s="16"/>
      <c r="J275" s="10"/>
    </row>
    <row r="276" spans="1:10" ht="35.1" customHeight="1" x14ac:dyDescent="0.25">
      <c r="A276" s="14"/>
      <c r="B276" s="16"/>
      <c r="C276" s="16"/>
      <c r="D276" s="16"/>
      <c r="E276" s="16"/>
      <c r="F276" s="16" t="str">
        <f>IF($A276&lt;&gt;"",IF($F269="","DIRETO",""),"")</f>
        <v/>
      </c>
      <c r="G276" s="16" t="str">
        <f t="shared" si="29"/>
        <v/>
      </c>
      <c r="H276" s="16"/>
      <c r="J276" s="10"/>
    </row>
    <row r="277" spans="1:10" ht="35.1" customHeight="1" x14ac:dyDescent="0.25">
      <c r="A277" s="14"/>
      <c r="B277" s="16"/>
      <c r="C277" s="16"/>
      <c r="D277" s="16"/>
      <c r="E277" s="16"/>
      <c r="F277" s="16" t="str">
        <f>IF($A277&lt;&gt;"",IF($F269="","DIRETO",""),"")</f>
        <v/>
      </c>
      <c r="G277" s="16" t="str">
        <f t="shared" si="29"/>
        <v/>
      </c>
      <c r="H277" s="16"/>
      <c r="J277" s="10"/>
    </row>
    <row r="278" spans="1:10" ht="35.1" customHeight="1" x14ac:dyDescent="0.25">
      <c r="A278" s="14"/>
      <c r="B278" s="16"/>
      <c r="C278" s="16"/>
      <c r="D278" s="16"/>
      <c r="E278" s="16"/>
      <c r="F278" s="16" t="str">
        <f>IF($A278&lt;&gt;"",IF($F269="","DIRETO",""),"")</f>
        <v/>
      </c>
      <c r="G278" s="16" t="str">
        <f t="shared" si="29"/>
        <v/>
      </c>
      <c r="H278" s="16"/>
      <c r="J278" s="10"/>
    </row>
    <row r="279" spans="1:10" ht="35.1" customHeight="1" x14ac:dyDescent="0.25">
      <c r="A279" s="14"/>
      <c r="B279" s="16"/>
      <c r="C279" s="16"/>
      <c r="D279" s="16"/>
      <c r="E279" s="16"/>
      <c r="F279" s="16" t="str">
        <f>IF($A279&lt;&gt;"",IF($F269="","DIRETO",""),"")</f>
        <v/>
      </c>
      <c r="G279" s="16" t="str">
        <f t="shared" si="29"/>
        <v/>
      </c>
      <c r="H279" s="16"/>
    </row>
    <row r="280" spans="1:10" ht="35.1" customHeight="1" x14ac:dyDescent="0.25">
      <c r="A280" s="14"/>
      <c r="B280" s="16"/>
      <c r="C280" s="16"/>
      <c r="D280" s="16"/>
      <c r="E280" s="16"/>
      <c r="F280" s="16" t="str">
        <f>IF($A280&lt;&gt;"",IF($F269="","DIRETO",""),"")</f>
        <v/>
      </c>
      <c r="G280" s="16" t="str">
        <f t="shared" si="29"/>
        <v/>
      </c>
      <c r="H280" s="16"/>
    </row>
    <row r="281" spans="1:10" ht="35.1" customHeight="1" x14ac:dyDescent="0.25">
      <c r="A281" s="13">
        <v>46036</v>
      </c>
      <c r="B281" s="33" t="s">
        <v>30</v>
      </c>
      <c r="C281" s="34"/>
      <c r="D281" s="34"/>
      <c r="E281" s="34"/>
      <c r="F281" s="35"/>
      <c r="G281" s="5">
        <v>361</v>
      </c>
      <c r="H281" s="5" t="str">
        <f>VLOOKUP(G281,Apoio!A$1:B306,2,0)</f>
        <v>SERRA/USINAGEM</v>
      </c>
    </row>
    <row r="282" spans="1:10" ht="35.1" customHeight="1" x14ac:dyDescent="0.25">
      <c r="A282" s="11"/>
      <c r="B282" s="6" t="s">
        <v>19</v>
      </c>
      <c r="C282" s="12"/>
      <c r="D282" s="30" t="s">
        <v>4</v>
      </c>
      <c r="E282" s="31"/>
      <c r="F282" s="31"/>
      <c r="G282" s="31"/>
      <c r="H282" s="32"/>
    </row>
    <row r="283" spans="1:10" ht="35.1" customHeight="1" x14ac:dyDescent="0.25">
      <c r="A283" s="3" t="s">
        <v>0</v>
      </c>
      <c r="B283" s="3" t="s">
        <v>2</v>
      </c>
      <c r="C283" s="3" t="s">
        <v>1</v>
      </c>
      <c r="D283" s="3" t="str">
        <f>IFERROR(VLOOKUP(G281,Apoio!F$1:G$43,2,0),"")</f>
        <v xml:space="preserve">SERRA </v>
      </c>
      <c r="E283" s="4" t="s">
        <v>5</v>
      </c>
      <c r="F283" s="3" t="str">
        <f>IFERROR(VLOOKUP(G281,Apoio!H$1:I$44,2,0),"")</f>
        <v>USINAGEM</v>
      </c>
      <c r="G283" s="4" t="s">
        <v>5</v>
      </c>
      <c r="H283" s="4" t="s">
        <v>6</v>
      </c>
    </row>
    <row r="284" spans="1:10" ht="35.1" customHeight="1" x14ac:dyDescent="0.25">
      <c r="A284" s="14">
        <v>7448428</v>
      </c>
      <c r="B284" s="15">
        <v>30500111</v>
      </c>
      <c r="C284" s="16">
        <v>14</v>
      </c>
      <c r="D284" s="16" t="s">
        <v>99</v>
      </c>
      <c r="E284" s="29">
        <v>46057</v>
      </c>
      <c r="F284" s="16" t="s">
        <v>99</v>
      </c>
      <c r="G284" s="29">
        <v>46058</v>
      </c>
      <c r="H284" s="16" t="s">
        <v>96</v>
      </c>
    </row>
    <row r="285" spans="1:10" ht="35.1" customHeight="1" x14ac:dyDescent="0.25">
      <c r="A285" s="14">
        <v>7448429</v>
      </c>
      <c r="B285" s="15">
        <v>30500113</v>
      </c>
      <c r="C285" s="16">
        <v>14</v>
      </c>
      <c r="D285" s="16" t="s">
        <v>99</v>
      </c>
      <c r="E285" s="29">
        <v>46057</v>
      </c>
      <c r="F285" s="16" t="s">
        <v>99</v>
      </c>
      <c r="G285" s="29">
        <v>46058</v>
      </c>
      <c r="H285" s="16" t="s">
        <v>96</v>
      </c>
    </row>
    <row r="286" spans="1:10" ht="35.1" customHeight="1" x14ac:dyDescent="0.25">
      <c r="A286" s="14">
        <v>7448430</v>
      </c>
      <c r="B286" s="15">
        <v>30500115</v>
      </c>
      <c r="C286" s="16">
        <v>14</v>
      </c>
      <c r="D286" s="16" t="s">
        <v>95</v>
      </c>
      <c r="E286" s="29">
        <v>46045</v>
      </c>
      <c r="F286" s="16" t="s">
        <v>95</v>
      </c>
      <c r="G286" s="29">
        <v>46057</v>
      </c>
      <c r="H286" s="16" t="s">
        <v>96</v>
      </c>
      <c r="J286" s="5" t="str">
        <f>VLOOKUP(G281,Apoio!A$1:B306,2,0)</f>
        <v>SERRA/USINAGEM</v>
      </c>
    </row>
    <row r="287" spans="1:10" ht="35.1" customHeight="1" x14ac:dyDescent="0.25">
      <c r="A287" s="14">
        <v>7448431</v>
      </c>
      <c r="B287" s="15">
        <v>30500125</v>
      </c>
      <c r="C287" s="16">
        <v>14</v>
      </c>
      <c r="D287" s="16" t="s">
        <v>95</v>
      </c>
      <c r="E287" s="29">
        <v>46044</v>
      </c>
      <c r="F287" s="16" t="s">
        <v>95</v>
      </c>
      <c r="G287" s="29">
        <v>46050</v>
      </c>
      <c r="H287" s="16" t="s">
        <v>96</v>
      </c>
      <c r="J287" s="18" t="s">
        <v>21</v>
      </c>
    </row>
    <row r="288" spans="1:10" ht="35.1" customHeight="1" x14ac:dyDescent="0.25">
      <c r="A288" s="14">
        <v>7448432</v>
      </c>
      <c r="B288" s="16">
        <v>30500126</v>
      </c>
      <c r="C288" s="16">
        <v>14</v>
      </c>
      <c r="D288" s="16" t="s">
        <v>95</v>
      </c>
      <c r="E288" s="29">
        <v>46042</v>
      </c>
      <c r="F288" s="16" t="s">
        <v>95</v>
      </c>
      <c r="G288" s="29">
        <v>46045</v>
      </c>
      <c r="H288" s="16" t="s">
        <v>96</v>
      </c>
      <c r="J288" s="19">
        <f>COUNTIF(A284:A350,"&gt;7000000")</f>
        <v>54</v>
      </c>
    </row>
    <row r="289" spans="1:10" ht="35.1" customHeight="1" x14ac:dyDescent="0.25">
      <c r="A289" s="14">
        <v>7448433</v>
      </c>
      <c r="B289" s="16">
        <v>30500162</v>
      </c>
      <c r="C289" s="16">
        <v>7</v>
      </c>
      <c r="D289" s="16" t="s">
        <v>95</v>
      </c>
      <c r="E289" s="29">
        <v>46044</v>
      </c>
      <c r="F289" s="16" t="s">
        <v>95</v>
      </c>
      <c r="G289" s="29">
        <v>46050</v>
      </c>
      <c r="H289" s="16" t="s">
        <v>96</v>
      </c>
      <c r="J289" s="20" t="s">
        <v>22</v>
      </c>
    </row>
    <row r="290" spans="1:10" ht="35.1" customHeight="1" x14ac:dyDescent="0.25">
      <c r="A290" s="14">
        <v>7448434</v>
      </c>
      <c r="B290" s="16">
        <v>30500163</v>
      </c>
      <c r="C290" s="16">
        <v>7</v>
      </c>
      <c r="D290" s="16" t="s">
        <v>95</v>
      </c>
      <c r="E290" s="29">
        <v>46050</v>
      </c>
      <c r="F290" s="16" t="s">
        <v>95</v>
      </c>
      <c r="G290" s="29">
        <v>46058</v>
      </c>
      <c r="H290" s="16" t="s">
        <v>96</v>
      </c>
      <c r="J290" s="21">
        <f>COUNTIF(H284:H350,"ok*")</f>
        <v>47</v>
      </c>
    </row>
    <row r="291" spans="1:10" ht="35.1" customHeight="1" x14ac:dyDescent="0.25">
      <c r="A291" s="14">
        <v>7448435</v>
      </c>
      <c r="B291" s="16">
        <v>30500164</v>
      </c>
      <c r="C291" s="16">
        <v>7</v>
      </c>
      <c r="D291" s="16" t="s">
        <v>95</v>
      </c>
      <c r="E291" s="29">
        <v>46050</v>
      </c>
      <c r="F291" s="16" t="s">
        <v>95</v>
      </c>
      <c r="G291" s="29">
        <v>46058</v>
      </c>
      <c r="H291" s="16" t="s">
        <v>96</v>
      </c>
      <c r="J291" s="22" t="s">
        <v>23</v>
      </c>
    </row>
    <row r="292" spans="1:10" ht="35.1" customHeight="1" x14ac:dyDescent="0.25">
      <c r="A292" s="14">
        <v>7448436</v>
      </c>
      <c r="B292" s="16">
        <v>30500226</v>
      </c>
      <c r="C292" s="16">
        <v>7</v>
      </c>
      <c r="D292" s="16" t="s">
        <v>95</v>
      </c>
      <c r="E292" s="29">
        <v>46050</v>
      </c>
      <c r="F292" s="16" t="s">
        <v>99</v>
      </c>
      <c r="G292" s="29">
        <v>46059</v>
      </c>
      <c r="H292" s="16" t="s">
        <v>96</v>
      </c>
      <c r="J292" s="23">
        <f t="shared" ref="J292" si="30">J290/J288</f>
        <v>0.87037037037037035</v>
      </c>
    </row>
    <row r="293" spans="1:10" ht="35.1" customHeight="1" x14ac:dyDescent="0.25">
      <c r="A293" s="14">
        <v>7448437</v>
      </c>
      <c r="B293" s="16">
        <v>30500227</v>
      </c>
      <c r="C293" s="16">
        <v>5</v>
      </c>
      <c r="D293" s="16" t="s">
        <v>95</v>
      </c>
      <c r="E293" s="29">
        <v>46044</v>
      </c>
      <c r="F293" s="16" t="s">
        <v>95</v>
      </c>
      <c r="G293" s="29">
        <v>46049</v>
      </c>
      <c r="H293" s="16" t="s">
        <v>96</v>
      </c>
    </row>
    <row r="294" spans="1:10" ht="35.1" customHeight="1" x14ac:dyDescent="0.25">
      <c r="A294" s="14">
        <v>7448438</v>
      </c>
      <c r="B294" s="16">
        <v>30500228</v>
      </c>
      <c r="C294" s="16">
        <v>7</v>
      </c>
      <c r="D294" s="16" t="s">
        <v>95</v>
      </c>
      <c r="E294" s="29">
        <v>46044</v>
      </c>
      <c r="F294" s="16" t="s">
        <v>95</v>
      </c>
      <c r="G294" s="29">
        <v>46049</v>
      </c>
      <c r="H294" s="16" t="s">
        <v>96</v>
      </c>
    </row>
    <row r="295" spans="1:10" ht="35.1" customHeight="1" x14ac:dyDescent="0.25">
      <c r="A295" s="13">
        <v>46036</v>
      </c>
      <c r="B295" s="33" t="s">
        <v>30</v>
      </c>
      <c r="C295" s="34"/>
      <c r="D295" s="34"/>
      <c r="E295" s="34"/>
      <c r="F295" s="35"/>
      <c r="G295" s="5">
        <v>361</v>
      </c>
      <c r="H295" s="5" t="str">
        <f>VLOOKUP(G295,Apoio!A$1:B320,2,0)</f>
        <v>SERRA/USINAGEM</v>
      </c>
    </row>
    <row r="296" spans="1:10" ht="35.1" customHeight="1" x14ac:dyDescent="0.25">
      <c r="A296" s="11"/>
      <c r="B296" s="6" t="s">
        <v>19</v>
      </c>
      <c r="C296" s="12"/>
      <c r="D296" s="30" t="s">
        <v>4</v>
      </c>
      <c r="E296" s="31"/>
      <c r="F296" s="31"/>
      <c r="G296" s="31"/>
      <c r="H296" s="32"/>
    </row>
    <row r="297" spans="1:10" ht="35.1" customHeight="1" x14ac:dyDescent="0.25">
      <c r="A297" s="3" t="s">
        <v>0</v>
      </c>
      <c r="B297" s="3" t="s">
        <v>2</v>
      </c>
      <c r="C297" s="3" t="s">
        <v>1</v>
      </c>
      <c r="D297" s="3" t="str">
        <f>IFERROR(VLOOKUP(G295,Apoio!F$1:G$43,2,0),"")</f>
        <v xml:space="preserve">SERRA </v>
      </c>
      <c r="E297" s="4" t="s">
        <v>5</v>
      </c>
      <c r="F297" s="3" t="str">
        <f>IFERROR(VLOOKUP(G295,Apoio!H$1:I$44,2,0),"")</f>
        <v>USINAGEM</v>
      </c>
      <c r="G297" s="4" t="s">
        <v>5</v>
      </c>
      <c r="H297" s="4" t="s">
        <v>6</v>
      </c>
    </row>
    <row r="298" spans="1:10" ht="35.1" customHeight="1" x14ac:dyDescent="0.25">
      <c r="A298" s="14">
        <v>7448439</v>
      </c>
      <c r="B298" s="15">
        <v>30500232</v>
      </c>
      <c r="C298" s="16">
        <v>7</v>
      </c>
      <c r="D298" s="16" t="s">
        <v>96</v>
      </c>
      <c r="E298" s="16"/>
      <c r="F298" s="16" t="s">
        <v>104</v>
      </c>
      <c r="G298" s="16" t="str">
        <f>IF(F298="DIRETO","-","")</f>
        <v/>
      </c>
      <c r="H298" s="16" t="s">
        <v>96</v>
      </c>
    </row>
    <row r="299" spans="1:10" ht="35.1" customHeight="1" x14ac:dyDescent="0.25">
      <c r="A299" s="14">
        <v>7448440</v>
      </c>
      <c r="B299" s="15">
        <v>30500435</v>
      </c>
      <c r="C299" s="16">
        <v>10</v>
      </c>
      <c r="D299" s="16" t="s">
        <v>96</v>
      </c>
      <c r="E299" s="16"/>
      <c r="F299" s="16" t="s">
        <v>105</v>
      </c>
      <c r="G299" s="16" t="str">
        <f t="shared" ref="G299" si="31">IF(F299="DIRETO","-","")</f>
        <v/>
      </c>
      <c r="H299" s="16" t="s">
        <v>96</v>
      </c>
      <c r="J299" s="10"/>
    </row>
    <row r="300" spans="1:10" ht="35.1" customHeight="1" x14ac:dyDescent="0.25">
      <c r="A300" s="14">
        <v>7448441</v>
      </c>
      <c r="B300" s="15">
        <v>30500437</v>
      </c>
      <c r="C300" s="16">
        <v>14</v>
      </c>
      <c r="D300" s="16" t="s">
        <v>95</v>
      </c>
      <c r="E300" s="29">
        <v>46038</v>
      </c>
      <c r="F300" s="16" t="s">
        <v>95</v>
      </c>
      <c r="G300" s="29">
        <v>46042</v>
      </c>
      <c r="H300" s="16" t="s">
        <v>96</v>
      </c>
      <c r="J300" s="10"/>
    </row>
    <row r="301" spans="1:10" ht="35.1" customHeight="1" x14ac:dyDescent="0.25">
      <c r="A301" s="14">
        <v>7448442</v>
      </c>
      <c r="B301" s="15" t="s">
        <v>84</v>
      </c>
      <c r="C301" s="16">
        <v>7</v>
      </c>
      <c r="D301" s="16" t="s">
        <v>95</v>
      </c>
      <c r="E301" s="29">
        <v>46044</v>
      </c>
      <c r="F301" s="16" t="s">
        <v>95</v>
      </c>
      <c r="G301" s="29">
        <v>46057</v>
      </c>
      <c r="H301" s="16" t="s">
        <v>96</v>
      </c>
      <c r="J301" s="10"/>
    </row>
    <row r="302" spans="1:10" ht="35.1" customHeight="1" x14ac:dyDescent="0.25">
      <c r="A302" s="14">
        <v>7448443</v>
      </c>
      <c r="B302" s="16" t="s">
        <v>85</v>
      </c>
      <c r="C302" s="16">
        <v>14</v>
      </c>
      <c r="D302" s="16" t="s">
        <v>95</v>
      </c>
      <c r="E302" s="29">
        <v>46055</v>
      </c>
      <c r="F302" s="16" t="s">
        <v>95</v>
      </c>
      <c r="G302" s="29">
        <v>46057</v>
      </c>
      <c r="H302" s="16" t="s">
        <v>96</v>
      </c>
      <c r="J302" s="10"/>
    </row>
    <row r="303" spans="1:10" ht="35.1" customHeight="1" x14ac:dyDescent="0.25">
      <c r="A303" s="14">
        <v>7448444</v>
      </c>
      <c r="B303" s="16">
        <v>30500454</v>
      </c>
      <c r="C303" s="16">
        <v>14</v>
      </c>
      <c r="D303" s="16" t="s">
        <v>95</v>
      </c>
      <c r="E303" s="29">
        <v>46044</v>
      </c>
      <c r="F303" s="16" t="s">
        <v>95</v>
      </c>
      <c r="G303" s="29">
        <v>46049</v>
      </c>
      <c r="H303" s="16" t="s">
        <v>96</v>
      </c>
      <c r="J303" s="10"/>
    </row>
    <row r="304" spans="1:10" ht="35.1" customHeight="1" x14ac:dyDescent="0.25">
      <c r="A304" s="14">
        <v>7448445</v>
      </c>
      <c r="B304" s="16">
        <v>30500455</v>
      </c>
      <c r="C304" s="16">
        <v>14</v>
      </c>
      <c r="D304" s="16" t="s">
        <v>95</v>
      </c>
      <c r="E304" s="29">
        <v>46050</v>
      </c>
      <c r="F304" s="16" t="s">
        <v>95</v>
      </c>
      <c r="G304" s="29">
        <v>46057</v>
      </c>
      <c r="H304" s="16" t="s">
        <v>96</v>
      </c>
      <c r="J304" s="10"/>
    </row>
    <row r="305" spans="1:10" ht="35.1" customHeight="1" x14ac:dyDescent="0.25">
      <c r="A305" s="14">
        <v>7448446</v>
      </c>
      <c r="B305" s="16">
        <v>30500456</v>
      </c>
      <c r="C305" s="16">
        <v>9</v>
      </c>
      <c r="D305" s="16" t="s">
        <v>95</v>
      </c>
      <c r="E305" s="29">
        <v>46049</v>
      </c>
      <c r="F305" s="16" t="s">
        <v>95</v>
      </c>
      <c r="G305" s="29">
        <v>46057</v>
      </c>
      <c r="H305" s="16" t="s">
        <v>96</v>
      </c>
      <c r="J305" s="10"/>
    </row>
    <row r="306" spans="1:10" ht="35.1" customHeight="1" x14ac:dyDescent="0.25">
      <c r="A306" s="14">
        <v>7448447</v>
      </c>
      <c r="B306" s="16">
        <v>30500458</v>
      </c>
      <c r="C306" s="16">
        <v>5</v>
      </c>
      <c r="D306" s="16" t="s">
        <v>95</v>
      </c>
      <c r="E306" s="29">
        <v>46049</v>
      </c>
      <c r="F306" s="16" t="s">
        <v>95</v>
      </c>
      <c r="G306" s="29">
        <v>46049</v>
      </c>
      <c r="H306" s="16" t="s">
        <v>96</v>
      </c>
      <c r="J306" s="10"/>
    </row>
    <row r="307" spans="1:10" ht="35.1" customHeight="1" x14ac:dyDescent="0.25">
      <c r="A307" s="14">
        <v>7448448</v>
      </c>
      <c r="B307" s="16" t="s">
        <v>86</v>
      </c>
      <c r="C307" s="16">
        <v>5</v>
      </c>
      <c r="D307" s="16" t="s">
        <v>95</v>
      </c>
      <c r="E307" s="29">
        <v>46049</v>
      </c>
      <c r="F307" s="16" t="s">
        <v>95</v>
      </c>
      <c r="G307" s="29">
        <v>46049</v>
      </c>
      <c r="H307" s="16" t="s">
        <v>96</v>
      </c>
    </row>
    <row r="308" spans="1:10" ht="35.1" customHeight="1" x14ac:dyDescent="0.25">
      <c r="A308" s="14">
        <v>7448449</v>
      </c>
      <c r="B308" s="16">
        <v>30500466</v>
      </c>
      <c r="C308" s="16">
        <v>14</v>
      </c>
      <c r="D308" s="16" t="s">
        <v>95</v>
      </c>
      <c r="E308" s="29">
        <v>46038</v>
      </c>
      <c r="F308" s="16" t="s">
        <v>95</v>
      </c>
      <c r="G308" s="29">
        <v>46043</v>
      </c>
      <c r="H308" s="16" t="s">
        <v>96</v>
      </c>
    </row>
    <row r="309" spans="1:10" ht="35.1" customHeight="1" x14ac:dyDescent="0.25">
      <c r="A309" s="13">
        <v>46036</v>
      </c>
      <c r="B309" s="33" t="s">
        <v>30</v>
      </c>
      <c r="C309" s="34"/>
      <c r="D309" s="34"/>
      <c r="E309" s="34"/>
      <c r="F309" s="35"/>
      <c r="G309" s="5">
        <v>361</v>
      </c>
      <c r="H309" s="5" t="str">
        <f>VLOOKUP(G309,Apoio!A$1:B334,2,0)</f>
        <v>SERRA/USINAGEM</v>
      </c>
    </row>
    <row r="310" spans="1:10" ht="35.1" customHeight="1" x14ac:dyDescent="0.25">
      <c r="A310" s="11"/>
      <c r="B310" s="6" t="s">
        <v>19</v>
      </c>
      <c r="C310" s="12"/>
      <c r="D310" s="30" t="s">
        <v>4</v>
      </c>
      <c r="E310" s="31"/>
      <c r="F310" s="31"/>
      <c r="G310" s="31"/>
      <c r="H310" s="32"/>
    </row>
    <row r="311" spans="1:10" ht="35.1" customHeight="1" x14ac:dyDescent="0.25">
      <c r="A311" s="3" t="s">
        <v>0</v>
      </c>
      <c r="B311" s="3" t="s">
        <v>2</v>
      </c>
      <c r="C311" s="3" t="s">
        <v>1</v>
      </c>
      <c r="D311" s="3" t="str">
        <f>IFERROR(VLOOKUP(G309,Apoio!F$1:G$43,2,0),"")</f>
        <v xml:space="preserve">SERRA </v>
      </c>
      <c r="E311" s="4" t="s">
        <v>5</v>
      </c>
      <c r="F311" s="3" t="str">
        <f>IFERROR(VLOOKUP(G309,Apoio!H$1:I$44,2,0),"")</f>
        <v>USINAGEM</v>
      </c>
      <c r="G311" s="4" t="s">
        <v>5</v>
      </c>
      <c r="H311" s="4" t="s">
        <v>6</v>
      </c>
    </row>
    <row r="312" spans="1:10" ht="35.1" customHeight="1" x14ac:dyDescent="0.25">
      <c r="A312" s="14">
        <v>7448450</v>
      </c>
      <c r="B312" s="15">
        <v>30500468</v>
      </c>
      <c r="C312" s="16">
        <v>9</v>
      </c>
      <c r="D312" s="16"/>
      <c r="E312" s="16"/>
      <c r="F312" s="16" t="str">
        <f>IF($A312&lt;&gt;"",IF($F311="","DIRETO",""),"")</f>
        <v/>
      </c>
      <c r="G312" s="16" t="str">
        <f>IF(F312="DIRETO","-","")</f>
        <v/>
      </c>
      <c r="H312" s="16"/>
    </row>
    <row r="313" spans="1:10" ht="35.1" customHeight="1" x14ac:dyDescent="0.25">
      <c r="A313" s="14">
        <v>7448451</v>
      </c>
      <c r="B313" s="15">
        <v>30500473</v>
      </c>
      <c r="C313" s="16">
        <v>7</v>
      </c>
      <c r="D313" s="16"/>
      <c r="E313" s="16"/>
      <c r="F313" s="16" t="str">
        <f>IF($A313&lt;&gt;"",IF($F311="","DIRETO",""),"")</f>
        <v/>
      </c>
      <c r="G313" s="16" t="str">
        <f t="shared" ref="G313:G320" si="32">IF(F313="DIRETO","-","")</f>
        <v/>
      </c>
      <c r="H313" s="16"/>
    </row>
    <row r="314" spans="1:10" ht="35.1" customHeight="1" x14ac:dyDescent="0.25">
      <c r="A314" s="14">
        <v>7448452</v>
      </c>
      <c r="B314" s="15" t="s">
        <v>87</v>
      </c>
      <c r="C314" s="16">
        <v>14</v>
      </c>
      <c r="D314" s="16" t="s">
        <v>95</v>
      </c>
      <c r="E314" s="29">
        <v>46044</v>
      </c>
      <c r="F314" s="16" t="s">
        <v>95</v>
      </c>
      <c r="G314" s="29">
        <v>46045</v>
      </c>
      <c r="H314" s="16" t="s">
        <v>96</v>
      </c>
      <c r="J314" s="10"/>
    </row>
    <row r="315" spans="1:10" ht="35.1" customHeight="1" x14ac:dyDescent="0.25">
      <c r="A315" s="14">
        <v>7448453</v>
      </c>
      <c r="B315" s="15">
        <v>30500475</v>
      </c>
      <c r="C315" s="16">
        <v>7</v>
      </c>
      <c r="D315" s="16" t="s">
        <v>95</v>
      </c>
      <c r="E315" s="29">
        <v>46049</v>
      </c>
      <c r="F315" s="16" t="s">
        <v>95</v>
      </c>
      <c r="G315" s="29">
        <v>46057</v>
      </c>
      <c r="H315" s="16" t="s">
        <v>96</v>
      </c>
      <c r="J315" s="10"/>
    </row>
    <row r="316" spans="1:10" ht="35.1" customHeight="1" x14ac:dyDescent="0.25">
      <c r="A316" s="14">
        <v>7448454</v>
      </c>
      <c r="B316" s="16">
        <v>30500476</v>
      </c>
      <c r="C316" s="16">
        <v>14</v>
      </c>
      <c r="D316" s="16" t="s">
        <v>95</v>
      </c>
      <c r="E316" s="29">
        <v>46049</v>
      </c>
      <c r="F316" s="16" t="str">
        <f>IF($A316&lt;&gt;"",IF($F311="","DIRETO",""),"")</f>
        <v/>
      </c>
      <c r="G316" s="16" t="str">
        <f t="shared" si="32"/>
        <v/>
      </c>
      <c r="H316" s="16"/>
      <c r="J316" s="10"/>
    </row>
    <row r="317" spans="1:10" ht="35.1" customHeight="1" x14ac:dyDescent="0.25">
      <c r="A317" s="14">
        <v>7448455</v>
      </c>
      <c r="B317" s="16">
        <v>30500488</v>
      </c>
      <c r="C317" s="16">
        <v>28</v>
      </c>
      <c r="D317" s="16" t="s">
        <v>95</v>
      </c>
      <c r="E317" s="29">
        <v>46050</v>
      </c>
      <c r="F317" s="16" t="s">
        <v>95</v>
      </c>
      <c r="G317" s="29">
        <v>46051</v>
      </c>
      <c r="H317" s="16" t="s">
        <v>96</v>
      </c>
      <c r="J317" s="10"/>
    </row>
    <row r="318" spans="1:10" ht="35.1" customHeight="1" x14ac:dyDescent="0.25">
      <c r="A318" s="14">
        <v>7448456</v>
      </c>
      <c r="B318" s="16" t="s">
        <v>88</v>
      </c>
      <c r="C318" s="16">
        <v>14</v>
      </c>
      <c r="D318" s="16" t="s">
        <v>95</v>
      </c>
      <c r="E318" s="29">
        <v>46038</v>
      </c>
      <c r="F318" s="16" t="s">
        <v>95</v>
      </c>
      <c r="G318" s="29">
        <v>46042</v>
      </c>
      <c r="H318" s="16" t="s">
        <v>96</v>
      </c>
      <c r="J318" s="10"/>
    </row>
    <row r="319" spans="1:10" ht="35.1" customHeight="1" x14ac:dyDescent="0.25">
      <c r="A319" s="14">
        <v>7448457</v>
      </c>
      <c r="B319" s="16">
        <v>30500494</v>
      </c>
      <c r="C319" s="16">
        <v>14</v>
      </c>
      <c r="D319" s="16" t="s">
        <v>95</v>
      </c>
      <c r="E319" s="29">
        <v>46049</v>
      </c>
      <c r="F319" s="16" t="str">
        <f>IF($A319&lt;&gt;"",IF($F311="","DIRETO",""),"")</f>
        <v/>
      </c>
      <c r="G319" s="16" t="str">
        <f t="shared" si="32"/>
        <v/>
      </c>
      <c r="H319" s="16"/>
      <c r="J319" s="10"/>
    </row>
    <row r="320" spans="1:10" ht="35.1" customHeight="1" x14ac:dyDescent="0.25">
      <c r="A320" s="14">
        <v>7448458</v>
      </c>
      <c r="B320" s="16">
        <v>30500496</v>
      </c>
      <c r="C320" s="16">
        <v>7</v>
      </c>
      <c r="D320" s="16"/>
      <c r="E320" s="16"/>
      <c r="F320" s="16" t="str">
        <f>IF($A320&lt;&gt;"",IF($F311="","DIRETO",""),"")</f>
        <v/>
      </c>
      <c r="G320" s="16" t="str">
        <f t="shared" si="32"/>
        <v/>
      </c>
      <c r="H320" s="16"/>
      <c r="J320" s="10"/>
    </row>
    <row r="321" spans="1:10" ht="35.1" customHeight="1" x14ac:dyDescent="0.25">
      <c r="A321" s="14">
        <v>7448459</v>
      </c>
      <c r="B321" s="16" t="s">
        <v>89</v>
      </c>
      <c r="C321" s="16">
        <v>14</v>
      </c>
      <c r="D321" s="16" t="s">
        <v>95</v>
      </c>
      <c r="E321" s="29">
        <v>46045</v>
      </c>
      <c r="F321" s="16" t="s">
        <v>95</v>
      </c>
      <c r="G321" s="29">
        <v>46050</v>
      </c>
      <c r="H321" s="16" t="s">
        <v>96</v>
      </c>
    </row>
    <row r="322" spans="1:10" ht="35.1" customHeight="1" x14ac:dyDescent="0.25">
      <c r="A322" s="14">
        <v>7448460</v>
      </c>
      <c r="B322" s="16">
        <v>30500498</v>
      </c>
      <c r="C322" s="16">
        <v>14</v>
      </c>
      <c r="D322" s="16" t="s">
        <v>95</v>
      </c>
      <c r="E322" s="29">
        <v>46038</v>
      </c>
      <c r="F322" s="16" t="s">
        <v>95</v>
      </c>
      <c r="G322" s="29">
        <v>46043</v>
      </c>
      <c r="H322" s="16" t="s">
        <v>96</v>
      </c>
    </row>
    <row r="323" spans="1:10" ht="35.1" customHeight="1" x14ac:dyDescent="0.25">
      <c r="A323" s="13">
        <v>46036</v>
      </c>
      <c r="B323" s="33" t="s">
        <v>30</v>
      </c>
      <c r="C323" s="34"/>
      <c r="D323" s="34"/>
      <c r="E323" s="34"/>
      <c r="F323" s="35"/>
      <c r="G323" s="5">
        <v>361</v>
      </c>
      <c r="H323" s="5" t="str">
        <f>VLOOKUP(G323,Apoio!A$1:B348,2,0)</f>
        <v>SERRA/USINAGEM</v>
      </c>
    </row>
    <row r="324" spans="1:10" ht="35.1" customHeight="1" x14ac:dyDescent="0.25">
      <c r="A324" s="11"/>
      <c r="B324" s="6" t="s">
        <v>19</v>
      </c>
      <c r="C324" s="12"/>
      <c r="D324" s="30" t="s">
        <v>4</v>
      </c>
      <c r="E324" s="31"/>
      <c r="F324" s="31"/>
      <c r="G324" s="31"/>
      <c r="H324" s="32"/>
    </row>
    <row r="325" spans="1:10" ht="35.1" customHeight="1" x14ac:dyDescent="0.25">
      <c r="A325" s="3" t="s">
        <v>0</v>
      </c>
      <c r="B325" s="3" t="s">
        <v>2</v>
      </c>
      <c r="C325" s="3" t="s">
        <v>1</v>
      </c>
      <c r="D325" s="3" t="str">
        <f>IFERROR(VLOOKUP(G323,Apoio!F$1:G$43,2,0),"")</f>
        <v xml:space="preserve">SERRA </v>
      </c>
      <c r="E325" s="4" t="s">
        <v>5</v>
      </c>
      <c r="F325" s="3" t="str">
        <f>IFERROR(VLOOKUP(G323,Apoio!H$1:I$44,2,0),"")</f>
        <v>USINAGEM</v>
      </c>
      <c r="G325" s="4" t="s">
        <v>5</v>
      </c>
      <c r="H325" s="4" t="s">
        <v>6</v>
      </c>
    </row>
    <row r="326" spans="1:10" ht="35.1" customHeight="1" x14ac:dyDescent="0.25">
      <c r="A326" s="14">
        <v>7448461</v>
      </c>
      <c r="B326" s="15">
        <v>30500499</v>
      </c>
      <c r="C326" s="16">
        <v>7</v>
      </c>
      <c r="D326" s="16" t="s">
        <v>95</v>
      </c>
      <c r="E326" s="29">
        <v>46045</v>
      </c>
      <c r="F326" s="16" t="s">
        <v>95</v>
      </c>
      <c r="G326" s="29">
        <v>46051</v>
      </c>
      <c r="H326" s="16" t="s">
        <v>96</v>
      </c>
    </row>
    <row r="327" spans="1:10" ht="35.1" customHeight="1" x14ac:dyDescent="0.25">
      <c r="A327" s="14">
        <v>7448462</v>
      </c>
      <c r="B327" s="15">
        <v>30500503</v>
      </c>
      <c r="C327" s="16">
        <v>18</v>
      </c>
      <c r="D327" s="16" t="s">
        <v>95</v>
      </c>
      <c r="E327" s="29">
        <v>46036</v>
      </c>
      <c r="F327" s="16" t="s">
        <v>95</v>
      </c>
      <c r="G327" s="29">
        <v>46042</v>
      </c>
      <c r="H327" s="16" t="s">
        <v>96</v>
      </c>
    </row>
    <row r="328" spans="1:10" ht="35.1" customHeight="1" x14ac:dyDescent="0.25">
      <c r="A328" s="14">
        <v>7448463</v>
      </c>
      <c r="B328" s="15" t="s">
        <v>90</v>
      </c>
      <c r="C328" s="16">
        <v>18</v>
      </c>
      <c r="D328" s="16" t="s">
        <v>95</v>
      </c>
      <c r="E328" s="29">
        <v>46036</v>
      </c>
      <c r="F328" s="16" t="s">
        <v>95</v>
      </c>
      <c r="G328" s="29">
        <v>46042</v>
      </c>
      <c r="H328" s="16" t="s">
        <v>96</v>
      </c>
      <c r="J328" s="10"/>
    </row>
    <row r="329" spans="1:10" ht="35.1" customHeight="1" x14ac:dyDescent="0.25">
      <c r="A329" s="14">
        <v>7448464</v>
      </c>
      <c r="B329" s="15">
        <v>30500504</v>
      </c>
      <c r="C329" s="16">
        <v>14</v>
      </c>
      <c r="D329" s="16" t="s">
        <v>95</v>
      </c>
      <c r="E329" s="29">
        <v>46050</v>
      </c>
      <c r="F329" s="16" t="s">
        <v>95</v>
      </c>
      <c r="G329" s="29">
        <v>46050</v>
      </c>
      <c r="H329" s="16" t="s">
        <v>96</v>
      </c>
      <c r="J329" s="10"/>
    </row>
    <row r="330" spans="1:10" ht="35.1" customHeight="1" x14ac:dyDescent="0.25">
      <c r="A330" s="14">
        <v>7448465</v>
      </c>
      <c r="B330" s="16" t="s">
        <v>91</v>
      </c>
      <c r="C330" s="16">
        <v>14</v>
      </c>
      <c r="D330" s="16" t="s">
        <v>95</v>
      </c>
      <c r="E330" s="29">
        <v>46050</v>
      </c>
      <c r="F330" s="16" t="s">
        <v>95</v>
      </c>
      <c r="G330" s="29">
        <v>46050</v>
      </c>
      <c r="H330" s="16" t="s">
        <v>96</v>
      </c>
      <c r="J330" s="10"/>
    </row>
    <row r="331" spans="1:10" ht="35.1" customHeight="1" x14ac:dyDescent="0.25">
      <c r="A331" s="14">
        <v>7448466</v>
      </c>
      <c r="B331" s="16">
        <v>30500520</v>
      </c>
      <c r="C331" s="16">
        <v>14</v>
      </c>
      <c r="D331" s="16" t="s">
        <v>95</v>
      </c>
      <c r="E331" s="29">
        <v>46050</v>
      </c>
      <c r="F331" s="16" t="s">
        <v>95</v>
      </c>
      <c r="G331" s="29">
        <v>46050</v>
      </c>
      <c r="H331" s="16" t="s">
        <v>96</v>
      </c>
      <c r="J331" s="10"/>
    </row>
    <row r="332" spans="1:10" ht="35.1" customHeight="1" x14ac:dyDescent="0.25">
      <c r="A332" s="14">
        <v>7448467</v>
      </c>
      <c r="B332" s="16">
        <v>30500524</v>
      </c>
      <c r="C332" s="16">
        <v>14</v>
      </c>
      <c r="D332" s="16" t="s">
        <v>95</v>
      </c>
      <c r="E332" s="29">
        <v>46042</v>
      </c>
      <c r="F332" s="16" t="s">
        <v>95</v>
      </c>
      <c r="G332" s="29">
        <v>46045</v>
      </c>
      <c r="H332" s="16" t="s">
        <v>96</v>
      </c>
      <c r="J332" s="10"/>
    </row>
    <row r="333" spans="1:10" ht="35.1" customHeight="1" x14ac:dyDescent="0.25">
      <c r="A333" s="14">
        <v>7448468</v>
      </c>
      <c r="B333" s="16">
        <v>30500525</v>
      </c>
      <c r="C333" s="16">
        <v>7</v>
      </c>
      <c r="D333" s="16" t="s">
        <v>95</v>
      </c>
      <c r="E333" s="29">
        <v>46049</v>
      </c>
      <c r="F333" s="16" t="s">
        <v>95</v>
      </c>
      <c r="G333" s="29">
        <v>46058</v>
      </c>
      <c r="H333" s="16" t="s">
        <v>96</v>
      </c>
      <c r="J333" s="10"/>
    </row>
    <row r="334" spans="1:10" ht="35.1" customHeight="1" x14ac:dyDescent="0.25">
      <c r="A334" s="14">
        <v>7448469</v>
      </c>
      <c r="B334" s="16">
        <v>30500526</v>
      </c>
      <c r="C334" s="16">
        <v>14</v>
      </c>
      <c r="D334" s="16" t="s">
        <v>95</v>
      </c>
      <c r="E334" s="29">
        <v>46045</v>
      </c>
      <c r="F334" s="16" t="s">
        <v>95</v>
      </c>
      <c r="G334" s="29">
        <v>46050</v>
      </c>
      <c r="H334" s="16" t="s">
        <v>96</v>
      </c>
      <c r="J334" s="10"/>
    </row>
    <row r="335" spans="1:10" ht="35.1" customHeight="1" x14ac:dyDescent="0.25">
      <c r="A335" s="14">
        <v>7448470</v>
      </c>
      <c r="B335" s="16">
        <v>30500530</v>
      </c>
      <c r="C335" s="16">
        <v>14</v>
      </c>
      <c r="D335" s="16" t="s">
        <v>95</v>
      </c>
      <c r="E335" s="29">
        <v>46045</v>
      </c>
      <c r="F335" s="16" t="s">
        <v>95</v>
      </c>
      <c r="G335" s="29">
        <v>46050</v>
      </c>
      <c r="H335" s="16" t="s">
        <v>96</v>
      </c>
    </row>
    <row r="336" spans="1:10" ht="35.1" customHeight="1" x14ac:dyDescent="0.25">
      <c r="A336" s="14">
        <v>7448471</v>
      </c>
      <c r="B336" s="16">
        <v>30500539</v>
      </c>
      <c r="C336" s="16">
        <v>7</v>
      </c>
      <c r="D336" s="16" t="s">
        <v>95</v>
      </c>
      <c r="E336" s="29">
        <v>46043</v>
      </c>
      <c r="F336" s="16" t="s">
        <v>95</v>
      </c>
      <c r="G336" s="29">
        <v>46043</v>
      </c>
      <c r="H336" s="16" t="s">
        <v>96</v>
      </c>
    </row>
    <row r="337" spans="1:10" ht="35.1" customHeight="1" x14ac:dyDescent="0.25">
      <c r="A337" s="13">
        <v>46036</v>
      </c>
      <c r="B337" s="33" t="s">
        <v>30</v>
      </c>
      <c r="C337" s="34"/>
      <c r="D337" s="34"/>
      <c r="E337" s="34"/>
      <c r="F337" s="35"/>
      <c r="G337" s="5">
        <v>361</v>
      </c>
      <c r="H337" s="5" t="str">
        <f>VLOOKUP(G337,Apoio!A$1:B362,2,0)</f>
        <v>SERRA/USINAGEM</v>
      </c>
    </row>
    <row r="338" spans="1:10" ht="35.1" customHeight="1" x14ac:dyDescent="0.25">
      <c r="A338" s="11"/>
      <c r="B338" s="6" t="s">
        <v>19</v>
      </c>
      <c r="C338" s="12"/>
      <c r="D338" s="30" t="s">
        <v>4</v>
      </c>
      <c r="E338" s="31"/>
      <c r="F338" s="31"/>
      <c r="G338" s="31"/>
      <c r="H338" s="32"/>
    </row>
    <row r="339" spans="1:10" ht="35.1" customHeight="1" x14ac:dyDescent="0.25">
      <c r="A339" s="3" t="s">
        <v>0</v>
      </c>
      <c r="B339" s="3" t="s">
        <v>2</v>
      </c>
      <c r="C339" s="3" t="s">
        <v>1</v>
      </c>
      <c r="D339" s="3" t="str">
        <f>IFERROR(VLOOKUP(G337,Apoio!F$1:G$43,2,0),"")</f>
        <v xml:space="preserve">SERRA </v>
      </c>
      <c r="E339" s="4" t="s">
        <v>5</v>
      </c>
      <c r="F339" s="3" t="str">
        <f>IFERROR(VLOOKUP(G337,Apoio!H$1:I$44,2,0),"")</f>
        <v>USINAGEM</v>
      </c>
      <c r="G339" s="4" t="s">
        <v>5</v>
      </c>
      <c r="H339" s="4" t="s">
        <v>6</v>
      </c>
    </row>
    <row r="340" spans="1:10" ht="35.1" customHeight="1" x14ac:dyDescent="0.25">
      <c r="A340" s="14">
        <v>7448472</v>
      </c>
      <c r="B340" s="15">
        <v>30500554</v>
      </c>
      <c r="C340" s="16">
        <v>14</v>
      </c>
      <c r="D340" s="16" t="s">
        <v>96</v>
      </c>
      <c r="E340" s="16"/>
      <c r="F340" s="16" t="s">
        <v>104</v>
      </c>
      <c r="G340" s="29">
        <v>46063</v>
      </c>
      <c r="H340" s="29" t="s">
        <v>96</v>
      </c>
    </row>
    <row r="341" spans="1:10" ht="35.1" customHeight="1" x14ac:dyDescent="0.25">
      <c r="A341" s="14">
        <v>7448473</v>
      </c>
      <c r="B341" s="15">
        <v>30502325</v>
      </c>
      <c r="C341" s="16">
        <v>4</v>
      </c>
      <c r="D341" s="16" t="s">
        <v>95</v>
      </c>
      <c r="E341" s="29">
        <v>46044</v>
      </c>
      <c r="F341" s="16" t="str">
        <f>IF($A341&lt;&gt;"",IF($F339="","DIRETO",""),"")</f>
        <v/>
      </c>
      <c r="G341" s="16" t="str">
        <f t="shared" ref="G341:G350" si="33">IF(F341="DIRETO","-","")</f>
        <v/>
      </c>
      <c r="H341" s="16"/>
    </row>
    <row r="342" spans="1:10" ht="35.1" customHeight="1" x14ac:dyDescent="0.25">
      <c r="A342" s="14">
        <v>7448474</v>
      </c>
      <c r="B342" s="15" t="s">
        <v>92</v>
      </c>
      <c r="C342" s="16">
        <v>4</v>
      </c>
      <c r="D342" s="16" t="s">
        <v>95</v>
      </c>
      <c r="E342" s="29">
        <v>46058</v>
      </c>
      <c r="F342" s="16" t="s">
        <v>95</v>
      </c>
      <c r="G342" s="29">
        <v>46058</v>
      </c>
      <c r="H342" s="16" t="s">
        <v>96</v>
      </c>
      <c r="J342" s="10"/>
    </row>
    <row r="343" spans="1:10" ht="35.1" customHeight="1" x14ac:dyDescent="0.25">
      <c r="A343" s="14">
        <v>7448475</v>
      </c>
      <c r="B343" s="15">
        <v>30502327</v>
      </c>
      <c r="C343" s="16">
        <v>4</v>
      </c>
      <c r="D343" s="16" t="s">
        <v>95</v>
      </c>
      <c r="E343" s="29">
        <v>46045</v>
      </c>
      <c r="F343" s="16" t="s">
        <v>95</v>
      </c>
      <c r="G343" s="29">
        <v>46057</v>
      </c>
      <c r="H343" s="16" t="s">
        <v>96</v>
      </c>
      <c r="J343" s="10"/>
    </row>
    <row r="344" spans="1:10" ht="35.1" customHeight="1" x14ac:dyDescent="0.25">
      <c r="A344" s="14">
        <v>7448476</v>
      </c>
      <c r="B344" s="16" t="s">
        <v>93</v>
      </c>
      <c r="C344" s="16">
        <v>4</v>
      </c>
      <c r="D344" s="16" t="s">
        <v>95</v>
      </c>
      <c r="E344" s="29">
        <v>46045</v>
      </c>
      <c r="F344" s="16" t="s">
        <v>95</v>
      </c>
      <c r="G344" s="29">
        <v>46057</v>
      </c>
      <c r="H344" s="16" t="s">
        <v>96</v>
      </c>
      <c r="J344" s="10"/>
    </row>
    <row r="345" spans="1:10" ht="35.1" customHeight="1" x14ac:dyDescent="0.25">
      <c r="A345" s="14">
        <v>7448477</v>
      </c>
      <c r="B345" s="16">
        <v>30502328</v>
      </c>
      <c r="C345" s="16">
        <v>4</v>
      </c>
      <c r="D345" s="16" t="s">
        <v>95</v>
      </c>
      <c r="E345" s="29">
        <v>46044</v>
      </c>
      <c r="F345" s="16" t="str">
        <f>IF($A345&lt;&gt;"",IF($F339="","DIRETO",""),"")</f>
        <v/>
      </c>
      <c r="G345" s="16" t="str">
        <f t="shared" si="33"/>
        <v/>
      </c>
      <c r="H345" s="16"/>
      <c r="J345" s="10"/>
    </row>
    <row r="346" spans="1:10" ht="35.1" customHeight="1" x14ac:dyDescent="0.25">
      <c r="A346" s="14">
        <v>7448478</v>
      </c>
      <c r="B346" s="16">
        <v>30502453</v>
      </c>
      <c r="C346" s="16">
        <v>7</v>
      </c>
      <c r="D346" s="16" t="s">
        <v>96</v>
      </c>
      <c r="E346" s="16"/>
      <c r="F346" s="16" t="s">
        <v>106</v>
      </c>
      <c r="G346" s="16" t="str">
        <f t="shared" si="33"/>
        <v/>
      </c>
      <c r="H346" s="29" t="s">
        <v>96</v>
      </c>
      <c r="J346" s="10"/>
    </row>
    <row r="347" spans="1:10" ht="35.1" customHeight="1" x14ac:dyDescent="0.25">
      <c r="A347" s="14">
        <v>7448479</v>
      </c>
      <c r="B347" s="16" t="s">
        <v>94</v>
      </c>
      <c r="C347" s="16">
        <v>7</v>
      </c>
      <c r="D347" s="16" t="s">
        <v>96</v>
      </c>
      <c r="E347" s="16"/>
      <c r="F347" s="16" t="s">
        <v>106</v>
      </c>
      <c r="G347" s="16" t="str">
        <f t="shared" si="33"/>
        <v/>
      </c>
      <c r="H347" s="29" t="s">
        <v>96</v>
      </c>
      <c r="J347" s="10"/>
    </row>
    <row r="348" spans="1:10" ht="35.1" customHeight="1" x14ac:dyDescent="0.25">
      <c r="A348" s="14">
        <v>7448480</v>
      </c>
      <c r="B348" s="16">
        <v>30502560</v>
      </c>
      <c r="C348" s="16">
        <v>7</v>
      </c>
      <c r="D348" s="16" t="s">
        <v>95</v>
      </c>
      <c r="E348" s="16" t="s">
        <v>98</v>
      </c>
      <c r="F348" s="16" t="s">
        <v>102</v>
      </c>
      <c r="G348" s="16" t="s">
        <v>98</v>
      </c>
      <c r="H348" s="16" t="s">
        <v>96</v>
      </c>
      <c r="J348" s="10"/>
    </row>
    <row r="349" spans="1:10" ht="35.1" customHeight="1" x14ac:dyDescent="0.25">
      <c r="A349" s="14">
        <v>7448486</v>
      </c>
      <c r="B349" s="16">
        <v>30502561</v>
      </c>
      <c r="C349" s="16">
        <v>7</v>
      </c>
      <c r="D349" s="16" t="s">
        <v>95</v>
      </c>
      <c r="E349" s="16"/>
      <c r="F349" s="16" t="s">
        <v>102</v>
      </c>
      <c r="G349" s="16" t="str">
        <f t="shared" si="33"/>
        <v/>
      </c>
      <c r="H349" s="16" t="s">
        <v>96</v>
      </c>
    </row>
    <row r="350" spans="1:10" ht="35.1" customHeight="1" x14ac:dyDescent="0.25">
      <c r="A350" s="14"/>
      <c r="B350" s="16"/>
      <c r="C350" s="16"/>
      <c r="D350" s="16"/>
      <c r="E350" s="16"/>
      <c r="F350" s="16" t="str">
        <f>IF($A350&lt;&gt;"",IF($F339="","DIRETO",""),"")</f>
        <v/>
      </c>
      <c r="G350" s="16" t="str">
        <f t="shared" si="33"/>
        <v/>
      </c>
      <c r="H350" s="16"/>
    </row>
    <row r="351" spans="1:10" ht="35.1" customHeight="1" x14ac:dyDescent="0.25">
      <c r="A351" s="13">
        <v>46036</v>
      </c>
      <c r="B351" s="33" t="s">
        <v>30</v>
      </c>
      <c r="C351" s="34"/>
      <c r="D351" s="34"/>
      <c r="E351" s="34"/>
      <c r="F351" s="35"/>
      <c r="G351" s="5">
        <v>362</v>
      </c>
      <c r="H351" s="5" t="str">
        <f>VLOOKUP(G351,Apoio!A$1:B376,2,0)</f>
        <v>SERRA/DOBRA</v>
      </c>
    </row>
    <row r="352" spans="1:10" ht="35.1" customHeight="1" x14ac:dyDescent="0.25">
      <c r="A352" s="11"/>
      <c r="B352" s="6" t="s">
        <v>19</v>
      </c>
      <c r="C352" s="12"/>
      <c r="D352" s="30" t="s">
        <v>4</v>
      </c>
      <c r="E352" s="31"/>
      <c r="F352" s="31"/>
      <c r="G352" s="31"/>
      <c r="H352" s="32"/>
    </row>
    <row r="353" spans="1:10" ht="35.1" customHeight="1" x14ac:dyDescent="0.25">
      <c r="A353" s="3" t="s">
        <v>0</v>
      </c>
      <c r="B353" s="3" t="s">
        <v>2</v>
      </c>
      <c r="C353" s="3" t="s">
        <v>1</v>
      </c>
      <c r="D353" s="3" t="str">
        <f>IFERROR(VLOOKUP(G351,Apoio!F$1:G$43,2,0),"")</f>
        <v xml:space="preserve">SERRA </v>
      </c>
      <c r="E353" s="4" t="s">
        <v>5</v>
      </c>
      <c r="F353" s="3" t="str">
        <f>IFERROR(VLOOKUP(G351,Apoio!H$1:I$44,2,0),"")</f>
        <v>DOBRA</v>
      </c>
      <c r="G353" s="4" t="s">
        <v>5</v>
      </c>
      <c r="H353" s="4" t="s">
        <v>6</v>
      </c>
    </row>
    <row r="354" spans="1:10" ht="35.1" customHeight="1" x14ac:dyDescent="0.25">
      <c r="A354" s="14">
        <v>7448481</v>
      </c>
      <c r="B354" s="15">
        <v>30500243</v>
      </c>
      <c r="C354" s="16">
        <v>7</v>
      </c>
      <c r="D354" s="16" t="s">
        <v>95</v>
      </c>
      <c r="E354" s="29">
        <v>46050</v>
      </c>
      <c r="F354" s="16" t="s">
        <v>95</v>
      </c>
      <c r="G354" s="29">
        <v>46056</v>
      </c>
      <c r="H354" s="16" t="s">
        <v>96</v>
      </c>
    </row>
    <row r="355" spans="1:10" ht="35.1" customHeight="1" x14ac:dyDescent="0.25">
      <c r="A355" s="14"/>
      <c r="B355" s="15"/>
      <c r="C355" s="16"/>
      <c r="D355" s="16"/>
      <c r="E355" s="16"/>
      <c r="F355" s="16" t="str">
        <f>IF($A355&lt;&gt;"",IF($F353="","DIRETO",""),"")</f>
        <v/>
      </c>
      <c r="G355" s="16" t="str">
        <f t="shared" ref="G355:G364" si="34">IF(F355="DIRETO","-","")</f>
        <v/>
      </c>
      <c r="H355" s="16"/>
    </row>
    <row r="356" spans="1:10" ht="35.1" customHeight="1" x14ac:dyDescent="0.25">
      <c r="A356" s="14"/>
      <c r="B356" s="15"/>
      <c r="C356" s="16"/>
      <c r="D356" s="16"/>
      <c r="E356" s="16"/>
      <c r="F356" s="16" t="str">
        <f>IF($A356&lt;&gt;"",IF($F353="","DIRETO",""),"")</f>
        <v/>
      </c>
      <c r="G356" s="16" t="str">
        <f t="shared" si="34"/>
        <v/>
      </c>
      <c r="H356" s="16"/>
      <c r="J356" s="5" t="str">
        <f>VLOOKUP(G351,Apoio!A$1:B376,2,0)</f>
        <v>SERRA/DOBRA</v>
      </c>
    </row>
    <row r="357" spans="1:10" ht="35.1" customHeight="1" x14ac:dyDescent="0.25">
      <c r="A357" s="14"/>
      <c r="B357" s="15"/>
      <c r="C357" s="16"/>
      <c r="D357" s="16"/>
      <c r="E357" s="16"/>
      <c r="F357" s="16" t="str">
        <f>IF($A357&lt;&gt;"",IF($F353="","DIRETO",""),"")</f>
        <v/>
      </c>
      <c r="G357" s="16" t="str">
        <f t="shared" si="34"/>
        <v/>
      </c>
      <c r="H357" s="16"/>
      <c r="J357" s="18" t="s">
        <v>21</v>
      </c>
    </row>
    <row r="358" spans="1:10" ht="35.1" customHeight="1" x14ac:dyDescent="0.25">
      <c r="A358" s="14"/>
      <c r="B358" s="16"/>
      <c r="C358" s="16"/>
      <c r="D358" s="16"/>
      <c r="E358" s="16"/>
      <c r="F358" s="16" t="str">
        <f>IF($A358&lt;&gt;"",IF($F353="","DIRETO",""),"")</f>
        <v/>
      </c>
      <c r="G358" s="16" t="str">
        <f t="shared" si="34"/>
        <v/>
      </c>
      <c r="H358" s="16"/>
      <c r="J358" s="19">
        <f t="shared" ref="J358" si="35">COUNTIF(A354:A364,"&gt;7000000")</f>
        <v>1</v>
      </c>
    </row>
    <row r="359" spans="1:10" ht="35.1" customHeight="1" x14ac:dyDescent="0.25">
      <c r="A359" s="14"/>
      <c r="B359" s="16"/>
      <c r="C359" s="16"/>
      <c r="D359" s="16"/>
      <c r="E359" s="16"/>
      <c r="F359" s="16" t="str">
        <f>IF($A359&lt;&gt;"",IF($F353="","DIRETO",""),"")</f>
        <v/>
      </c>
      <c r="G359" s="16" t="str">
        <f t="shared" si="34"/>
        <v/>
      </c>
      <c r="H359" s="16"/>
      <c r="J359" s="20" t="s">
        <v>22</v>
      </c>
    </row>
    <row r="360" spans="1:10" ht="35.1" customHeight="1" x14ac:dyDescent="0.25">
      <c r="A360" s="14"/>
      <c r="B360" s="16"/>
      <c r="C360" s="16"/>
      <c r="D360" s="16"/>
      <c r="E360" s="16"/>
      <c r="F360" s="16" t="str">
        <f>IF($A360&lt;&gt;"",IF($F353="","DIRETO",""),"")</f>
        <v/>
      </c>
      <c r="G360" s="16" t="str">
        <f t="shared" si="34"/>
        <v/>
      </c>
      <c r="H360" s="16"/>
      <c r="J360" s="21">
        <f>COUNTIF(H354:H364,"ok*")</f>
        <v>1</v>
      </c>
    </row>
    <row r="361" spans="1:10" ht="35.1" customHeight="1" x14ac:dyDescent="0.25">
      <c r="A361" s="14"/>
      <c r="B361" s="16"/>
      <c r="C361" s="16"/>
      <c r="D361" s="16"/>
      <c r="E361" s="16"/>
      <c r="F361" s="16" t="str">
        <f>IF($A361&lt;&gt;"",IF($F353="","DIRETO",""),"")</f>
        <v/>
      </c>
      <c r="G361" s="16" t="str">
        <f t="shared" si="34"/>
        <v/>
      </c>
      <c r="H361" s="16"/>
      <c r="J361" s="22" t="s">
        <v>23</v>
      </c>
    </row>
    <row r="362" spans="1:10" ht="35.1" customHeight="1" x14ac:dyDescent="0.25">
      <c r="A362" s="14"/>
      <c r="B362" s="16"/>
      <c r="C362" s="16"/>
      <c r="D362" s="16"/>
      <c r="E362" s="16"/>
      <c r="F362" s="16" t="str">
        <f>IF($A362&lt;&gt;"",IF($F353="","DIRETO",""),"")</f>
        <v/>
      </c>
      <c r="G362" s="16" t="str">
        <f t="shared" si="34"/>
        <v/>
      </c>
      <c r="H362" s="16"/>
      <c r="J362" s="23">
        <f t="shared" ref="J362" si="36">J360/J358</f>
        <v>1</v>
      </c>
    </row>
    <row r="363" spans="1:10" ht="35.1" customHeight="1" x14ac:dyDescent="0.25">
      <c r="A363" s="14"/>
      <c r="B363" s="16"/>
      <c r="C363" s="16"/>
      <c r="D363" s="16"/>
      <c r="E363" s="16"/>
      <c r="F363" s="16" t="str">
        <f>IF($A363&lt;&gt;"",IF($F353="","DIRETO",""),"")</f>
        <v/>
      </c>
      <c r="G363" s="16" t="str">
        <f t="shared" si="34"/>
        <v/>
      </c>
      <c r="H363" s="16"/>
    </row>
    <row r="364" spans="1:10" ht="35.1" customHeight="1" x14ac:dyDescent="0.25">
      <c r="A364" s="14"/>
      <c r="B364" s="16"/>
      <c r="C364" s="16"/>
      <c r="D364" s="16"/>
      <c r="E364" s="16"/>
      <c r="F364" s="16" t="str">
        <f>IF($A364&lt;&gt;"",IF($F353="","DIRETO",""),"")</f>
        <v/>
      </c>
      <c r="G364" s="16" t="str">
        <f t="shared" si="34"/>
        <v/>
      </c>
      <c r="H364" s="16"/>
    </row>
    <row r="365" spans="1:10" ht="35.1" customHeight="1" x14ac:dyDescent="0.25">
      <c r="A365" s="13">
        <v>46036</v>
      </c>
      <c r="B365" s="33" t="s">
        <v>30</v>
      </c>
      <c r="C365" s="34"/>
      <c r="D365" s="34"/>
      <c r="E365" s="34"/>
      <c r="F365" s="35"/>
      <c r="G365" s="5">
        <v>370</v>
      </c>
      <c r="H365" s="5" t="str">
        <f>VLOOKUP(G365,Apoio!A$1:B390,2,0)</f>
        <v>USINAGEM</v>
      </c>
    </row>
    <row r="366" spans="1:10" ht="35.1" customHeight="1" x14ac:dyDescent="0.25">
      <c r="A366" s="11"/>
      <c r="B366" s="6" t="s">
        <v>19</v>
      </c>
      <c r="C366" s="12"/>
      <c r="D366" s="30" t="s">
        <v>4</v>
      </c>
      <c r="E366" s="31"/>
      <c r="F366" s="31"/>
      <c r="G366" s="31"/>
      <c r="H366" s="32"/>
    </row>
    <row r="367" spans="1:10" ht="35.1" customHeight="1" x14ac:dyDescent="0.25">
      <c r="A367" s="3" t="s">
        <v>0</v>
      </c>
      <c r="B367" s="3" t="s">
        <v>2</v>
      </c>
      <c r="C367" s="3" t="s">
        <v>1</v>
      </c>
      <c r="D367" s="3" t="str">
        <f>IFERROR(VLOOKUP(G365,Apoio!F$1:G$43,2,0),"")</f>
        <v>USINAGEM</v>
      </c>
      <c r="E367" s="4" t="s">
        <v>5</v>
      </c>
      <c r="F367" s="3" t="str">
        <f>IFERROR(VLOOKUP(G365,Apoio!H$1:I$44,2,0),"")</f>
        <v/>
      </c>
      <c r="G367" s="4" t="s">
        <v>5</v>
      </c>
      <c r="H367" s="4" t="s">
        <v>6</v>
      </c>
    </row>
    <row r="368" spans="1:10" ht="35.1" customHeight="1" x14ac:dyDescent="0.25">
      <c r="A368" s="14">
        <v>7448482</v>
      </c>
      <c r="B368" s="15">
        <v>30500160</v>
      </c>
      <c r="C368" s="16">
        <v>7</v>
      </c>
      <c r="D368" s="16" t="s">
        <v>95</v>
      </c>
      <c r="E368" s="29">
        <v>46045</v>
      </c>
      <c r="F368" s="16" t="str">
        <f>IF($A368&lt;&gt;"",IF($F367="","DIRETO",""),"")</f>
        <v>DIRETO</v>
      </c>
      <c r="G368" s="16" t="str">
        <f>IF(F368="DIRETO","-","")</f>
        <v>-</v>
      </c>
      <c r="H368" s="16" t="s">
        <v>96</v>
      </c>
    </row>
    <row r="369" spans="1:10" ht="35.1" customHeight="1" x14ac:dyDescent="0.25">
      <c r="A369" s="14">
        <v>7448483</v>
      </c>
      <c r="B369" s="15">
        <v>30500489</v>
      </c>
      <c r="C369" s="16">
        <v>28</v>
      </c>
      <c r="D369" s="16" t="s">
        <v>95</v>
      </c>
      <c r="E369" s="29">
        <v>46045</v>
      </c>
      <c r="F369" s="16" t="str">
        <f>IF($A369&lt;&gt;"",IF($F367="","DIRETO",""),"")</f>
        <v>DIRETO</v>
      </c>
      <c r="G369" s="16" t="str">
        <f t="shared" ref="G369:G378" si="37">IF(F369="DIRETO","-","")</f>
        <v>-</v>
      </c>
      <c r="H369" s="16" t="s">
        <v>96</v>
      </c>
    </row>
    <row r="370" spans="1:10" ht="35.1" customHeight="1" x14ac:dyDescent="0.25">
      <c r="A370" s="14"/>
      <c r="B370" s="15"/>
      <c r="C370" s="16"/>
      <c r="D370" s="16"/>
      <c r="E370" s="16"/>
      <c r="F370" s="16" t="str">
        <f>IF($A370&lt;&gt;"",IF($F367="","DIRETO",""),"")</f>
        <v/>
      </c>
      <c r="G370" s="16" t="str">
        <f t="shared" si="37"/>
        <v/>
      </c>
      <c r="H370" s="16"/>
      <c r="J370" s="5" t="str">
        <f>VLOOKUP(G365,Apoio!A$1:B390,2,0)</f>
        <v>USINAGEM</v>
      </c>
    </row>
    <row r="371" spans="1:10" ht="35.1" customHeight="1" x14ac:dyDescent="0.25">
      <c r="A371" s="14"/>
      <c r="B371" s="15"/>
      <c r="C371" s="16"/>
      <c r="D371" s="16"/>
      <c r="E371" s="16"/>
      <c r="F371" s="16" t="str">
        <f>IF($A371&lt;&gt;"",IF($F367="","DIRETO",""),"")</f>
        <v/>
      </c>
      <c r="G371" s="16" t="str">
        <f t="shared" si="37"/>
        <v/>
      </c>
      <c r="H371" s="16"/>
      <c r="J371" s="18" t="s">
        <v>21</v>
      </c>
    </row>
    <row r="372" spans="1:10" ht="35.1" customHeight="1" x14ac:dyDescent="0.25">
      <c r="A372" s="14"/>
      <c r="B372" s="16"/>
      <c r="C372" s="16"/>
      <c r="D372" s="16"/>
      <c r="E372" s="16"/>
      <c r="F372" s="16" t="str">
        <f>IF($A372&lt;&gt;"",IF($F367="","DIRETO",""),"")</f>
        <v/>
      </c>
      <c r="G372" s="16" t="str">
        <f t="shared" si="37"/>
        <v/>
      </c>
      <c r="H372" s="16"/>
      <c r="J372" s="19">
        <f t="shared" ref="J372" si="38">COUNTIF(A368:A378,"&gt;7000000")</f>
        <v>2</v>
      </c>
    </row>
    <row r="373" spans="1:10" ht="35.1" customHeight="1" x14ac:dyDescent="0.25">
      <c r="A373" s="14"/>
      <c r="B373" s="16"/>
      <c r="C373" s="16"/>
      <c r="D373" s="16"/>
      <c r="E373" s="16"/>
      <c r="F373" s="16" t="str">
        <f>IF($A373&lt;&gt;"",IF($F367="","DIRETO",""),"")</f>
        <v/>
      </c>
      <c r="G373" s="16" t="str">
        <f t="shared" si="37"/>
        <v/>
      </c>
      <c r="H373" s="16"/>
      <c r="J373" s="20" t="s">
        <v>22</v>
      </c>
    </row>
    <row r="374" spans="1:10" ht="35.1" customHeight="1" x14ac:dyDescent="0.25">
      <c r="A374" s="14"/>
      <c r="B374" s="16"/>
      <c r="C374" s="16"/>
      <c r="D374" s="16"/>
      <c r="E374" s="16"/>
      <c r="F374" s="16" t="str">
        <f>IF($A374&lt;&gt;"",IF($F367="","DIRETO",""),"")</f>
        <v/>
      </c>
      <c r="G374" s="16" t="str">
        <f t="shared" si="37"/>
        <v/>
      </c>
      <c r="H374" s="16"/>
      <c r="J374" s="21">
        <f>COUNTIF(H368:H378,"ok*")</f>
        <v>2</v>
      </c>
    </row>
    <row r="375" spans="1:10" ht="35.1" customHeight="1" x14ac:dyDescent="0.25">
      <c r="A375" s="14"/>
      <c r="B375" s="16"/>
      <c r="C375" s="16"/>
      <c r="D375" s="16"/>
      <c r="E375" s="16"/>
      <c r="F375" s="16" t="str">
        <f>IF($A375&lt;&gt;"",IF($F367="","DIRETO",""),"")</f>
        <v/>
      </c>
      <c r="G375" s="16" t="str">
        <f t="shared" si="37"/>
        <v/>
      </c>
      <c r="H375" s="16"/>
      <c r="J375" s="22" t="s">
        <v>23</v>
      </c>
    </row>
    <row r="376" spans="1:10" ht="35.1" customHeight="1" x14ac:dyDescent="0.25">
      <c r="A376" s="14"/>
      <c r="B376" s="16"/>
      <c r="C376" s="16"/>
      <c r="D376" s="16"/>
      <c r="E376" s="16"/>
      <c r="F376" s="16" t="str">
        <f>IF($A376&lt;&gt;"",IF($F367="","DIRETO",""),"")</f>
        <v/>
      </c>
      <c r="G376" s="16" t="str">
        <f t="shared" si="37"/>
        <v/>
      </c>
      <c r="H376" s="16"/>
      <c r="J376" s="23">
        <f t="shared" ref="J376" si="39">J374/J372</f>
        <v>1</v>
      </c>
    </row>
    <row r="377" spans="1:10" ht="35.1" customHeight="1" x14ac:dyDescent="0.25">
      <c r="A377" s="14"/>
      <c r="B377" s="16"/>
      <c r="C377" s="16"/>
      <c r="D377" s="16"/>
      <c r="E377" s="16"/>
      <c r="F377" s="16" t="str">
        <f>IF($A377&lt;&gt;"",IF($F367="","DIRETO",""),"")</f>
        <v/>
      </c>
      <c r="G377" s="16" t="str">
        <f t="shared" si="37"/>
        <v/>
      </c>
      <c r="H377" s="16"/>
    </row>
    <row r="378" spans="1:10" ht="35.1" customHeight="1" x14ac:dyDescent="0.25">
      <c r="A378" s="14"/>
      <c r="B378" s="16"/>
      <c r="C378" s="16"/>
      <c r="D378" s="16"/>
      <c r="E378" s="16"/>
      <c r="F378" s="16" t="str">
        <f>IF($A378&lt;&gt;"",IF($F367="","DIRETO",""),"")</f>
        <v/>
      </c>
      <c r="G378" s="16" t="str">
        <f t="shared" si="37"/>
        <v/>
      </c>
      <c r="H378" s="16"/>
    </row>
    <row r="379" spans="1:10" ht="35.1" customHeight="1" x14ac:dyDescent="0.25"/>
    <row r="380" spans="1:10" ht="35.1" customHeight="1" x14ac:dyDescent="0.25"/>
    <row r="381" spans="1:10" ht="35.1" customHeight="1" x14ac:dyDescent="0.25"/>
    <row r="382" spans="1:10" ht="35.1" customHeight="1" x14ac:dyDescent="0.25"/>
  </sheetData>
  <mergeCells count="54">
    <mergeCell ref="D366:H366"/>
    <mergeCell ref="B309:F309"/>
    <mergeCell ref="D310:H310"/>
    <mergeCell ref="B323:F323"/>
    <mergeCell ref="D324:H324"/>
    <mergeCell ref="B337:F337"/>
    <mergeCell ref="D338:H338"/>
    <mergeCell ref="B351:F351"/>
    <mergeCell ref="D352:H352"/>
    <mergeCell ref="B365:F365"/>
    <mergeCell ref="B85:F85"/>
    <mergeCell ref="D86:H86"/>
    <mergeCell ref="B99:F99"/>
    <mergeCell ref="B295:F295"/>
    <mergeCell ref="D296:H296"/>
    <mergeCell ref="B183:F183"/>
    <mergeCell ref="D184:H184"/>
    <mergeCell ref="B197:F197"/>
    <mergeCell ref="D198:H198"/>
    <mergeCell ref="B211:F211"/>
    <mergeCell ref="D212:H212"/>
    <mergeCell ref="B225:F225"/>
    <mergeCell ref="D226:H226"/>
    <mergeCell ref="B239:F239"/>
    <mergeCell ref="D240:H240"/>
    <mergeCell ref="B253:F253"/>
    <mergeCell ref="D44:H44"/>
    <mergeCell ref="B57:F57"/>
    <mergeCell ref="D58:H58"/>
    <mergeCell ref="B71:F71"/>
    <mergeCell ref="D72:H72"/>
    <mergeCell ref="B1:F1"/>
    <mergeCell ref="B29:F29"/>
    <mergeCell ref="D30:H30"/>
    <mergeCell ref="B43:F43"/>
    <mergeCell ref="D2:H2"/>
    <mergeCell ref="B15:F15"/>
    <mergeCell ref="D16:H16"/>
    <mergeCell ref="D100:H100"/>
    <mergeCell ref="B113:F113"/>
    <mergeCell ref="D114:H114"/>
    <mergeCell ref="B127:F127"/>
    <mergeCell ref="D128:H128"/>
    <mergeCell ref="D170:H170"/>
    <mergeCell ref="D282:H282"/>
    <mergeCell ref="B141:F141"/>
    <mergeCell ref="D142:H142"/>
    <mergeCell ref="B155:F155"/>
    <mergeCell ref="D156:H156"/>
    <mergeCell ref="B169:F169"/>
    <mergeCell ref="B281:F281"/>
    <mergeCell ref="D254:H254"/>
    <mergeCell ref="B267:F267"/>
    <mergeCell ref="D268:H268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8E3C-22BE-4D99-84BE-874EFB08ACBC}">
  <dimension ref="A1:I14"/>
  <sheetViews>
    <sheetView workbookViewId="0">
      <selection activeCell="E21" sqref="E21"/>
    </sheetView>
  </sheetViews>
  <sheetFormatPr defaultRowHeight="15" x14ac:dyDescent="0.25"/>
  <cols>
    <col min="2" max="2" width="20.5703125" bestFit="1" customWidth="1"/>
    <col min="7" max="7" width="12" bestFit="1" customWidth="1"/>
  </cols>
  <sheetData>
    <row r="1" spans="1:9" x14ac:dyDescent="0.25">
      <c r="A1" s="7">
        <v>310</v>
      </c>
      <c r="B1" s="8" t="s">
        <v>7</v>
      </c>
      <c r="F1">
        <v>311</v>
      </c>
      <c r="G1" t="s">
        <v>7</v>
      </c>
      <c r="H1">
        <v>311</v>
      </c>
      <c r="I1" t="s">
        <v>3</v>
      </c>
    </row>
    <row r="2" spans="1:9" x14ac:dyDescent="0.25">
      <c r="A2" s="7">
        <v>311</v>
      </c>
      <c r="B2" s="8" t="s">
        <v>14</v>
      </c>
      <c r="F2" s="9">
        <v>310</v>
      </c>
      <c r="G2" t="s">
        <v>7</v>
      </c>
      <c r="H2">
        <v>312</v>
      </c>
      <c r="I2" t="s">
        <v>9</v>
      </c>
    </row>
    <row r="3" spans="1:9" x14ac:dyDescent="0.25">
      <c r="A3" s="7">
        <v>312</v>
      </c>
      <c r="B3" s="8" t="s">
        <v>24</v>
      </c>
      <c r="F3">
        <v>312</v>
      </c>
      <c r="G3" t="s">
        <v>7</v>
      </c>
      <c r="H3">
        <v>321</v>
      </c>
      <c r="I3" t="s">
        <v>3</v>
      </c>
    </row>
    <row r="4" spans="1:9" x14ac:dyDescent="0.25">
      <c r="A4" s="7">
        <v>320</v>
      </c>
      <c r="B4" s="8" t="s">
        <v>8</v>
      </c>
      <c r="F4" s="9">
        <v>320</v>
      </c>
      <c r="G4" t="s">
        <v>8</v>
      </c>
      <c r="H4">
        <v>331</v>
      </c>
      <c r="I4" t="s">
        <v>3</v>
      </c>
    </row>
    <row r="5" spans="1:9" x14ac:dyDescent="0.25">
      <c r="A5" s="7">
        <v>321</v>
      </c>
      <c r="B5" s="8" t="s">
        <v>15</v>
      </c>
      <c r="F5">
        <v>321</v>
      </c>
      <c r="G5" t="s">
        <v>8</v>
      </c>
      <c r="H5">
        <v>351</v>
      </c>
      <c r="I5" t="s">
        <v>9</v>
      </c>
    </row>
    <row r="6" spans="1:9" x14ac:dyDescent="0.25">
      <c r="A6" s="7">
        <v>330</v>
      </c>
      <c r="B6" s="8" t="s">
        <v>28</v>
      </c>
      <c r="F6" s="9">
        <v>330</v>
      </c>
      <c r="G6" t="s">
        <v>28</v>
      </c>
      <c r="H6">
        <v>352</v>
      </c>
      <c r="I6" t="s">
        <v>3</v>
      </c>
    </row>
    <row r="7" spans="1:9" x14ac:dyDescent="0.25">
      <c r="A7" s="7">
        <v>331</v>
      </c>
      <c r="B7" s="8" t="s">
        <v>26</v>
      </c>
      <c r="F7">
        <v>331</v>
      </c>
      <c r="G7" t="s">
        <v>28</v>
      </c>
      <c r="H7">
        <v>361</v>
      </c>
      <c r="I7" t="s">
        <v>9</v>
      </c>
    </row>
    <row r="8" spans="1:9" x14ac:dyDescent="0.25">
      <c r="A8" s="7">
        <v>350</v>
      </c>
      <c r="B8" s="8" t="s">
        <v>25</v>
      </c>
      <c r="F8" s="9">
        <v>350</v>
      </c>
      <c r="G8" t="s">
        <v>25</v>
      </c>
      <c r="H8">
        <v>362</v>
      </c>
      <c r="I8" t="s">
        <v>3</v>
      </c>
    </row>
    <row r="9" spans="1:9" x14ac:dyDescent="0.25">
      <c r="A9" s="27">
        <v>351</v>
      </c>
      <c r="B9" s="8" t="s">
        <v>27</v>
      </c>
      <c r="F9">
        <v>351</v>
      </c>
      <c r="G9" t="s">
        <v>25</v>
      </c>
    </row>
    <row r="10" spans="1:9" x14ac:dyDescent="0.25">
      <c r="A10" s="7">
        <v>352</v>
      </c>
      <c r="B10" s="8" t="s">
        <v>29</v>
      </c>
      <c r="F10">
        <v>352</v>
      </c>
      <c r="G10" t="s">
        <v>25</v>
      </c>
    </row>
    <row r="11" spans="1:9" x14ac:dyDescent="0.25">
      <c r="A11" s="7">
        <v>360</v>
      </c>
      <c r="B11" s="8" t="s">
        <v>10</v>
      </c>
      <c r="F11" s="9">
        <v>360</v>
      </c>
      <c r="G11" t="s">
        <v>10</v>
      </c>
    </row>
    <row r="12" spans="1:9" x14ac:dyDescent="0.25">
      <c r="A12" s="7">
        <v>361</v>
      </c>
      <c r="B12" s="8" t="s">
        <v>16</v>
      </c>
      <c r="F12">
        <v>361</v>
      </c>
      <c r="G12" t="s">
        <v>17</v>
      </c>
    </row>
    <row r="13" spans="1:9" x14ac:dyDescent="0.25">
      <c r="A13" s="7">
        <v>362</v>
      </c>
      <c r="B13" s="8" t="s">
        <v>18</v>
      </c>
      <c r="F13">
        <v>362</v>
      </c>
      <c r="G13" t="s">
        <v>17</v>
      </c>
    </row>
    <row r="14" spans="1:9" x14ac:dyDescent="0.25">
      <c r="A14" s="27">
        <v>370</v>
      </c>
      <c r="B14" s="28" t="s">
        <v>9</v>
      </c>
      <c r="F14" s="9">
        <v>370</v>
      </c>
      <c r="G14" t="s">
        <v>9</v>
      </c>
    </row>
  </sheetData>
  <sortState xmlns:xlrd2="http://schemas.microsoft.com/office/spreadsheetml/2017/richdata2" ref="A1:B14">
    <sortCondition ref="A1:A1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Silva</dc:creator>
  <cp:lastModifiedBy>Pablo De Moura Castro Barini</cp:lastModifiedBy>
  <cp:lastPrinted>2026-01-14T13:47:49Z</cp:lastPrinted>
  <dcterms:created xsi:type="dcterms:W3CDTF">2024-07-02T13:29:08Z</dcterms:created>
  <dcterms:modified xsi:type="dcterms:W3CDTF">2026-02-10T18:11:02Z</dcterms:modified>
</cp:coreProperties>
</file>