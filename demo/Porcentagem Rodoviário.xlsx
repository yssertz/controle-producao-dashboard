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A:\Programação Gabriel - Rodoviário\Acompanhamento Fabricação\"/>
    </mc:Choice>
  </mc:AlternateContent>
  <xr:revisionPtr revIDLastSave="0" documentId="13_ncr:1_{AB27C3DC-4544-4F24-B8B6-D9C77F4AD838}" xr6:coauthVersionLast="47" xr6:coauthVersionMax="47" xr10:uidLastSave="{00000000-0000-0000-0000-000000000000}"/>
  <bookViews>
    <workbookView xWindow="-120" yWindow="-120" windowWidth="29040" windowHeight="15720" tabRatio="855" activeTab="3" xr2:uid="{F679DFC9-76B7-4A69-9FD7-6D19138698A7}"/>
  </bookViews>
  <sheets>
    <sheet name="Geral" sheetId="1" r:id="rId1"/>
    <sheet name="Porcentagem Fabricação" sheetId="24" r:id="rId2"/>
    <sheet name="db_production" sheetId="23" r:id="rId3"/>
    <sheet name="Finalizadas" sheetId="14" r:id="rId4"/>
  </sheets>
  <externalReferences>
    <externalReference r:id="rId5"/>
  </externalReference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C13" i="23"/>
  <c r="C12" i="23"/>
  <c r="C11" i="23"/>
  <c r="C10" i="23"/>
  <c r="C9" i="23"/>
  <c r="C8" i="23"/>
  <c r="C7" i="23"/>
  <c r="C6" i="23"/>
  <c r="C5" i="23"/>
  <c r="C4" i="23"/>
  <c r="C3" i="23"/>
  <c r="C2" i="23"/>
  <c r="C22" i="24"/>
  <c r="C20" i="24"/>
  <c r="C19" i="24"/>
  <c r="C18" i="24"/>
  <c r="C16" i="24"/>
  <c r="C15" i="24"/>
  <c r="C13" i="24"/>
  <c r="C12" i="24"/>
  <c r="C10" i="24"/>
  <c r="C9" i="24"/>
  <c r="C7" i="24"/>
  <c r="C6" i="24"/>
  <c r="C4" i="24"/>
  <c r="B1" i="24" l="1"/>
</calcChain>
</file>

<file path=xl/sharedStrings.xml><?xml version="1.0" encoding="utf-8"?>
<sst xmlns="http://schemas.openxmlformats.org/spreadsheetml/2006/main" count="47" uniqueCount="23">
  <si>
    <t>TOTAL</t>
  </si>
  <si>
    <t>GEKA</t>
  </si>
  <si>
    <t>GEKA/DOBRA</t>
  </si>
  <si>
    <t>GUILHOTINA</t>
  </si>
  <si>
    <t>SERRA</t>
  </si>
  <si>
    <t>SERRA/DOBRA</t>
  </si>
  <si>
    <t>USINAGEM</t>
  </si>
  <si>
    <t>GUILH./DOBRA</t>
  </si>
  <si>
    <t>SERRA/USI.</t>
  </si>
  <si>
    <t>STB</t>
  </si>
  <si>
    <t>ENTREGUE DIA:</t>
  </si>
  <si>
    <t>LASER 6K</t>
  </si>
  <si>
    <t>LASER 6K/DOBRA</t>
  </si>
  <si>
    <t>LASER 40K</t>
  </si>
  <si>
    <t>LASER 40K/USI.</t>
  </si>
  <si>
    <t>Equipamento</t>
  </si>
  <si>
    <t>Processo</t>
  </si>
  <si>
    <t>Conclusão</t>
  </si>
  <si>
    <t>Total Geral</t>
  </si>
  <si>
    <t>Rótulos de Linha</t>
  </si>
  <si>
    <t>Média de Conclusão</t>
  </si>
  <si>
    <t>04 - STB</t>
  </si>
  <si>
    <t>04 - STB2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</si>
</sst>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9" fontId="3" fillId="0" borderId="1" xfId="1" applyFont="1" applyBorder="1" applyAlignment="1">
      <alignment horizontal="center" vertical="center"/>
    </xf>
    <xf numFmtId="0" fontId="6" fillId="0" borderId="0" xfId="0" applyFont="1"/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3" fillId="4" borderId="4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9" fontId="10" fillId="0" borderId="3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/>
    <xf numFmtId="14" fontId="11" fillId="0" borderId="0" xfId="0" applyNumberFormat="1" applyFont="1" applyAlignment="1">
      <alignment vertical="center"/>
    </xf>
    <xf numFmtId="1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0" borderId="0" xfId="0" applyAlignment="1">
      <alignment vertical="center"/>
    </xf>
    <xf numFmtId="14" fontId="13" fillId="0" borderId="0" xfId="0" applyNumberFormat="1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0" fontId="17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</cellXfs>
  <cellStyles count="3">
    <cellStyle name="Hiperlink" xfId="2" builtinId="8"/>
    <cellStyle name="Normal" xfId="0" builtinId="0"/>
    <cellStyle name="Porcentagem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[Porcentagem Rodoviário.xlsx]db_production!Tabela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Porcentagem</a:t>
            </a:r>
            <a:r>
              <a:rPr lang="en-US" sz="1800" b="1" baseline="0"/>
              <a:t> Fabricação por Processo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-5400000" spcFirstLastPara="1" vertOverflow="overflow" horzOverflow="overflow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db_production!$F$1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db_production!$E$2:$E$3</c:f>
              <c:strCache>
                <c:ptCount val="1"/>
                <c:pt idx="0">
                  <c:v>04 - STB2</c:v>
                </c:pt>
              </c:strCache>
            </c:strRef>
          </c:cat>
          <c:val>
            <c:numRef>
              <c:f>db_production!$F$2:$F$3</c:f>
              <c:numCache>
                <c:formatCode>0.00%</c:formatCode>
                <c:ptCount val="1"/>
                <c:pt idx="0">
                  <c:v>0.97846520763187428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8-49F0-90C8-2EA4B21D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97680"/>
        <c:axId val="90106320"/>
      </c:barChart>
      <c:catAx>
        <c:axId val="9009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106320"/>
        <c:crosses val="autoZero"/>
        <c:auto val="1"/>
        <c:lblAlgn val="ctr"/>
        <c:lblOffset val="100"/>
        <c:noMultiLvlLbl val="0"/>
      </c:catAx>
      <c:valAx>
        <c:axId val="9010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097680"/>
        <c:crosses val="autoZero"/>
        <c:crossBetween val="between"/>
      </c:valAx>
      <c:spPr>
        <a:pattFill prst="pct5">
          <a:fgClr>
            <a:schemeClr val="bg2"/>
          </a:fgClr>
          <a:bgClr>
            <a:schemeClr val="bg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72838</xdr:colOff>
      <xdr:row>0</xdr:row>
      <xdr:rowOff>79562</xdr:rowOff>
    </xdr:from>
    <xdr:to>
      <xdr:col>25</xdr:col>
      <xdr:colOff>123264</xdr:colOff>
      <xdr:row>32</xdr:row>
      <xdr:rowOff>123265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CCC62D-634E-5FFA-40E1-E5B736B8E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a%2004%20-%20ST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Apoio"/>
    </sheetNames>
    <sheetDataSet>
      <sheetData sheetId="0">
        <row r="7">
          <cell r="N7" t="str">
            <v>TOTAL DE ORDENS DE PRODUÇÃO</v>
          </cell>
        </row>
        <row r="8">
          <cell r="N8">
            <v>219</v>
          </cell>
        </row>
        <row r="9">
          <cell r="N9" t="str">
            <v>TOTAL DE ORDENS FINALIZADAS</v>
          </cell>
        </row>
        <row r="10">
          <cell r="N10">
            <v>206</v>
          </cell>
        </row>
        <row r="11">
          <cell r="N11" t="str">
            <v>ESTÁGIO ATUAL</v>
          </cell>
        </row>
        <row r="12">
          <cell r="J12">
            <v>1</v>
          </cell>
          <cell r="N12">
            <v>0.94063926940639264</v>
          </cell>
        </row>
        <row r="40">
          <cell r="J40">
            <v>1</v>
          </cell>
        </row>
        <row r="54">
          <cell r="J54">
            <v>1</v>
          </cell>
        </row>
        <row r="82">
          <cell r="J82">
            <v>1</v>
          </cell>
        </row>
        <row r="96">
          <cell r="J96">
            <v>0.95454545454545459</v>
          </cell>
        </row>
        <row r="152">
          <cell r="J152">
            <v>0.91666666666666663</v>
          </cell>
        </row>
        <row r="222">
          <cell r="J222">
            <v>1</v>
          </cell>
        </row>
        <row r="250">
          <cell r="J250">
            <v>1</v>
          </cell>
        </row>
        <row r="264">
          <cell r="J264">
            <v>1</v>
          </cell>
        </row>
        <row r="292">
          <cell r="J292">
            <v>0.87037037037037035</v>
          </cell>
        </row>
        <row r="362">
          <cell r="J362">
            <v>1</v>
          </cell>
        </row>
        <row r="376">
          <cell r="J376">
            <v>1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De Moura Castro Barini" refreshedDate="46064.457615046296" createdVersion="8" refreshedVersion="8" minRefreshableVersion="3" recordCount="12" xr:uid="{536E7C01-10C5-41C4-97C6-EC5B75CFDFD9}">
  <cacheSource type="worksheet">
    <worksheetSource name="Tabela1"/>
  </cacheSource>
  <cacheFields count="3">
    <cacheField name="Equipamento" numFmtId="0">
      <sharedItems containsBlank="1" count="36">
        <s v="04 - STB"/>
        <s v="05 - ROLL ON" u="1"/>
        <s v="06 - PLATAFORMA" u="1"/>
        <s v="08 - CONTEINER" u="1"/>
        <s v="09 - JULIETA" u="1"/>
        <m u="1"/>
        <s v="02 - JULIETA" u="1"/>
        <s v="01 - STB" u="1"/>
        <s v="56 - PLAT. UNIPORT" u="1"/>
        <s v="55 - JULIETA CATERRA" u="1"/>
        <s v="53 - PLATAFORMA" u="1"/>
        <s v="54 - ROLL ON 8T" u="1"/>
        <s v="52 - STB" u="1"/>
        <s v="51 - CONTEINER" u="1"/>
        <s v="46 - ROLL ON" u="1"/>
        <s v="50 - BOIADEIRA" u="1"/>
        <s v="43 - LIFTER" u="1"/>
        <s v="42 - PLATAFORMA" u="1"/>
        <s v="44 - CONTEINER" u="1"/>
        <s v="49 - CONTEINER FEIRA" u="1"/>
        <s v="47 - COMPACTADOR" u="1"/>
        <s v="46 - COMPACTADOR" u="1"/>
        <s v="45 - COMPACTADOR" u="1"/>
        <s v="40 - STB" u="1"/>
        <s v="39 - PLATAFORMA" u="1"/>
        <s v="41 - CONTEINER" u="1"/>
        <s v="37 - JULIETA" u="1"/>
        <s v="35 - CONTEINER" u="1"/>
        <s v="38 - STB" u="1"/>
        <s v="36 - BOIADEIRA" u="1"/>
        <s v="28 - EXPULSOR" u="1"/>
        <s v="33 - LIFTER" u="1"/>
        <s v="32 - ROLL ON" u="1"/>
        <s v="34 - STB" u="1"/>
        <s v="30 - PLATAFORMA" u="1"/>
        <s v="31 - CONTEINER" u="1"/>
      </sharedItems>
    </cacheField>
    <cacheField name="Processo" numFmtId="0">
      <sharedItems containsBlank="1" count="25">
        <s v="GEKA"/>
        <s v="GEKA/DOBRA"/>
        <s v="GUILHOTINA"/>
        <s v="GUILH./DOBRA"/>
        <s v="LASER 6K"/>
        <s v="LASER 6K/DOBRA"/>
        <s v="LASER 40K"/>
        <s v="LASER 40K/USI."/>
        <s v="SERRA"/>
        <s v="SERRA/USI."/>
        <s v="SERRA/DOBRA"/>
        <s v="USINAGEM"/>
        <s v="GUILH./USINAGEM" u="1"/>
        <s v="LASER 6K/USI." u="1"/>
        <m u="1"/>
        <s v="LASER 40KW" u="1"/>
        <s v="LASER 40KW/USI." u="1"/>
        <s v="LASER 6KW" u="1"/>
        <s v="LASER 6KW/DOBRA" u="1"/>
        <s v="GILH./GEKA/USI." u="1"/>
        <s v="LASER 40KW/DOBRA" u="1"/>
        <s v="GEKA/USI." u="1"/>
        <s v="LASER 6KW/USI." u="1"/>
        <s v="LASER" u="1"/>
        <s v="LASER/DOBRA" u="1"/>
      </sharedItems>
    </cacheField>
    <cacheField name="Conclusão" numFmtId="9">
      <sharedItems containsSemiMixedTypes="0" containsString="0" containsNumber="1" minValue="0.87037037037037035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1"/>
  </r>
  <r>
    <x v="0"/>
    <x v="1"/>
    <n v="1"/>
  </r>
  <r>
    <x v="0"/>
    <x v="2"/>
    <n v="1"/>
  </r>
  <r>
    <x v="0"/>
    <x v="3"/>
    <n v="1"/>
  </r>
  <r>
    <x v="0"/>
    <x v="4"/>
    <n v="0.95454545454545459"/>
  </r>
  <r>
    <x v="0"/>
    <x v="5"/>
    <n v="0.91666666666666663"/>
  </r>
  <r>
    <x v="0"/>
    <x v="6"/>
    <n v="1"/>
  </r>
  <r>
    <x v="0"/>
    <x v="7"/>
    <n v="1"/>
  </r>
  <r>
    <x v="0"/>
    <x v="8"/>
    <n v="1"/>
  </r>
  <r>
    <x v="0"/>
    <x v="9"/>
    <n v="0.87037037037037035"/>
  </r>
  <r>
    <x v="0"/>
    <x v="10"/>
    <n v="1"/>
  </r>
  <r>
    <x v="0"/>
    <x v="1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AE79D-BE05-4B67-B1D2-3DF275A4CA3C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E1:F3" firstHeaderRow="1" firstDataRow="1" firstDataCol="1"/>
  <pivotFields count="3">
    <pivotField axis="axisRow" showAll="0" sortType="ascending" defaultSubtotal="0">
      <items count="36">
        <item sd="0" m="1" x="6"/>
        <item n="04 - STB" sd="0" m="1" x="7"/>
        <item n="04 - STB2" sd="0" x="0"/>
        <item sd="0" m="1" x="1"/>
        <item sd="0" m="1" x="2"/>
        <item sd="0" m="1" x="3"/>
        <item sd="0" m="1" x="4"/>
        <item sd="0" m="1" x="30"/>
        <item sd="0" m="1" x="34"/>
        <item sd="0" m="1" x="35"/>
        <item sd="0" m="1" x="32"/>
        <item sd="0" m="1" x="31"/>
        <item sd="0" m="1" x="33"/>
        <item sd="0" m="1" x="27"/>
        <item sd="0" m="1" x="29"/>
        <item sd="0" m="1" x="26"/>
        <item sd="0" m="1" x="28"/>
        <item sd="0" m="1" x="24"/>
        <item sd="0" m="1" x="23"/>
        <item sd="0" m="1" x="25"/>
        <item sd="0" m="1" x="17"/>
        <item sd="0" m="1" x="16"/>
        <item sd="0" m="1" x="18"/>
        <item sd="0" m="1" x="22"/>
        <item sd="0" m="1" x="21"/>
        <item sd="0" m="1" x="14"/>
        <item sd="0" m="1" x="20"/>
        <item sd="0" m="1" x="19"/>
        <item sd="0" m="1" x="15"/>
        <item sd="0" m="1" x="13"/>
        <item sd="0" m="1" x="12"/>
        <item sd="0" m="1" x="10"/>
        <item sd="0" m="1" x="11"/>
        <item sd="0" m="1" x="9"/>
        <item sd="0" m="1" x="8"/>
        <item sd="0" m="1" x="5"/>
      </items>
    </pivotField>
    <pivotField axis="axisRow" showAll="0">
      <items count="26">
        <item x="0"/>
        <item x="1"/>
        <item m="1" x="19"/>
        <item x="3"/>
        <item x="2"/>
        <item m="1" x="23"/>
        <item x="6"/>
        <item x="7"/>
        <item x="4"/>
        <item x="5"/>
        <item m="1" x="13"/>
        <item m="1" x="24"/>
        <item x="8"/>
        <item x="10"/>
        <item x="9"/>
        <item x="11"/>
        <item h="1" m="1" x="14"/>
        <item h="1" m="1" x="21"/>
        <item h="1" m="1" x="20"/>
        <item h="1" m="1" x="16"/>
        <item h="1" m="1" x="17"/>
        <item h="1" m="1" x="18"/>
        <item h="1" m="1" x="15"/>
        <item h="1" m="1" x="22"/>
        <item h="1" m="1" x="12"/>
        <item t="default"/>
      </items>
    </pivotField>
    <pivotField dataField="1" showAll="0"/>
  </pivotFields>
  <rowFields count="2">
    <field x="0"/>
    <field x="1"/>
  </rowFields>
  <rowItems count="2">
    <i>
      <x v="2"/>
    </i>
    <i t="grand">
      <x/>
    </i>
  </rowItems>
  <colItems count="1">
    <i/>
  </colItems>
  <dataFields count="1">
    <dataField name="Média de Conclusão" fld="2" subtotal="average" baseField="1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7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0D7588-DA91-4D4E-A56A-2B193D857DB7}" name="Tabela1" displayName="Tabela1" ref="A1:C13" totalsRowShown="0">
  <autoFilter ref="A1:C13" xr:uid="{CA0D7588-DA91-4D4E-A56A-2B193D857DB7}"/>
  <sortState xmlns:xlrd2="http://schemas.microsoft.com/office/spreadsheetml/2017/richdata2" ref="A2:C13">
    <sortCondition ref="A1:A13"/>
  </sortState>
  <tableColumns count="3">
    <tableColumn id="1" xr3:uid="{DD03F601-8781-4590-AB5C-4581383CC28F}" name="Equipamento" dataDxfId="2"/>
    <tableColumn id="2" xr3:uid="{3217EFD8-840E-4027-8777-23786988D645}" name="Processo" dataDxfId="1"/>
    <tableColumn id="3" xr3:uid="{B76622E9-0931-4A3B-83A8-BA513C0773DB}" name="Conclusão" dataDxfId="0" dataCellStyle="Porcenta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2026\Lista%2004%20-%20STB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7E7F-8753-414A-87FE-7DB3812617F0}">
  <dimension ref="A2:B40"/>
  <sheetViews>
    <sheetView topLeftCell="A2" zoomScale="70" zoomScaleNormal="70" workbookViewId="0">
      <selection activeCell="A3" sqref="A3"/>
    </sheetView>
  </sheetViews>
  <sheetFormatPr defaultRowHeight="24.95" customHeight="1" x14ac:dyDescent="0.25"/>
  <cols>
    <col min="1" max="1" width="3.85546875" style="1" customWidth="1"/>
    <col min="2" max="2" width="38.7109375" style="1" customWidth="1"/>
    <col min="3" max="16384" width="9.140625" style="1"/>
  </cols>
  <sheetData>
    <row r="2" spans="1:2" ht="24.95" customHeight="1" x14ac:dyDescent="0.25">
      <c r="A2" s="2">
        <v>4</v>
      </c>
      <c r="B2" s="18" t="s">
        <v>9</v>
      </c>
    </row>
    <row r="3" spans="1:2" ht="24.95" customHeight="1" x14ac:dyDescent="0.25">
      <c r="B3" s="23" t="str">
        <f>[1]DADOS!N7</f>
        <v>TOTAL DE ORDENS DE PRODUÇÃO</v>
      </c>
    </row>
    <row r="4" spans="1:2" ht="24.95" customHeight="1" x14ac:dyDescent="0.25">
      <c r="B4" s="27">
        <f>[1]DADOS!N8</f>
        <v>219</v>
      </c>
    </row>
    <row r="5" spans="1:2" ht="24.95" customHeight="1" x14ac:dyDescent="0.25">
      <c r="B5" s="24" t="str">
        <f>[1]DADOS!N9</f>
        <v>TOTAL DE ORDENS FINALIZADAS</v>
      </c>
    </row>
    <row r="6" spans="1:2" ht="24.95" customHeight="1" x14ac:dyDescent="0.25">
      <c r="B6" s="27">
        <f>[1]DADOS!N10</f>
        <v>206</v>
      </c>
    </row>
    <row r="7" spans="1:2" ht="24.95" customHeight="1" x14ac:dyDescent="0.25">
      <c r="B7" s="25" t="str">
        <f>[1]DADOS!N11</f>
        <v>ESTÁGIO ATUAL</v>
      </c>
    </row>
    <row r="8" spans="1:2" ht="24.95" customHeight="1" x14ac:dyDescent="0.25">
      <c r="B8" s="26">
        <f>[1]DADOS!N12</f>
        <v>0.94063926940639264</v>
      </c>
    </row>
    <row r="10" spans="1:2" ht="24.95" customHeight="1" x14ac:dyDescent="0.25">
      <c r="A10" s="2"/>
    </row>
    <row r="11" spans="1:2" s="19" customFormat="1" ht="24.95" customHeight="1" x14ac:dyDescent="0.25">
      <c r="A11" s="1"/>
      <c r="B11" s="1"/>
    </row>
    <row r="12" spans="1:2" s="19" customFormat="1" ht="24.95" customHeight="1" x14ac:dyDescent="0.25">
      <c r="A12" s="1"/>
      <c r="B12" s="1"/>
    </row>
    <row r="13" spans="1:2" s="19" customFormat="1" ht="24.95" customHeight="1" x14ac:dyDescent="0.25">
      <c r="A13" s="1"/>
      <c r="B13" s="1"/>
    </row>
    <row r="14" spans="1:2" s="19" customFormat="1" ht="24.95" customHeight="1" x14ac:dyDescent="0.25">
      <c r="A14" s="1"/>
      <c r="B14" s="1"/>
    </row>
    <row r="15" spans="1:2" s="19" customFormat="1" ht="24.95" customHeight="1" x14ac:dyDescent="0.25">
      <c r="A15" s="1"/>
      <c r="B15" s="1"/>
    </row>
    <row r="16" spans="1:2" s="19" customFormat="1" ht="24.95" customHeight="1" x14ac:dyDescent="0.25">
      <c r="A16" s="1"/>
      <c r="B16" s="1"/>
    </row>
    <row r="19" spans="1:2" s="19" customFormat="1" ht="24.95" customHeight="1" x14ac:dyDescent="0.25">
      <c r="A19" s="1"/>
      <c r="B19" s="1"/>
    </row>
    <row r="20" spans="1:2" s="19" customFormat="1" ht="24.95" customHeight="1" x14ac:dyDescent="0.25">
      <c r="A20" s="1"/>
      <c r="B20" s="1"/>
    </row>
    <row r="21" spans="1:2" s="19" customFormat="1" ht="24.95" customHeight="1" x14ac:dyDescent="0.25">
      <c r="A21" s="1"/>
      <c r="B21" s="1"/>
    </row>
    <row r="22" spans="1:2" s="19" customFormat="1" ht="24.95" customHeight="1" x14ac:dyDescent="0.25">
      <c r="A22" s="1"/>
      <c r="B22" s="1"/>
    </row>
    <row r="23" spans="1:2" s="19" customFormat="1" ht="24.95" customHeight="1" x14ac:dyDescent="0.25">
      <c r="A23" s="1"/>
      <c r="B23" s="1"/>
    </row>
    <row r="24" spans="1:2" s="19" customFormat="1" ht="24.95" customHeight="1" x14ac:dyDescent="0.25">
      <c r="A24" s="1"/>
      <c r="B24" s="1"/>
    </row>
    <row r="27" spans="1:2" s="19" customFormat="1" ht="24.95" customHeight="1" x14ac:dyDescent="0.25">
      <c r="A27" s="1"/>
      <c r="B27" s="1"/>
    </row>
    <row r="28" spans="1:2" s="19" customFormat="1" ht="24.95" customHeight="1" x14ac:dyDescent="0.25">
      <c r="A28" s="1"/>
      <c r="B28" s="1"/>
    </row>
    <row r="29" spans="1:2" s="19" customFormat="1" ht="24.95" customHeight="1" x14ac:dyDescent="0.25">
      <c r="A29" s="1"/>
      <c r="B29" s="1"/>
    </row>
    <row r="30" spans="1:2" s="19" customFormat="1" ht="24.95" customHeight="1" x14ac:dyDescent="0.25">
      <c r="A30" s="1"/>
      <c r="B30" s="1"/>
    </row>
    <row r="31" spans="1:2" s="19" customFormat="1" ht="24.95" customHeight="1" x14ac:dyDescent="0.25">
      <c r="A31" s="1"/>
      <c r="B31" s="1"/>
    </row>
    <row r="32" spans="1:2" s="19" customFormat="1" ht="24.95" customHeight="1" x14ac:dyDescent="0.25">
      <c r="A32" s="1"/>
      <c r="B32" s="1"/>
    </row>
    <row r="35" spans="1:2" s="19" customFormat="1" ht="24.95" customHeight="1" x14ac:dyDescent="0.25">
      <c r="A35" s="1"/>
      <c r="B35" s="1"/>
    </row>
    <row r="36" spans="1:2" s="19" customFormat="1" ht="24.95" customHeight="1" x14ac:dyDescent="0.25">
      <c r="A36" s="1"/>
      <c r="B36" s="1"/>
    </row>
    <row r="37" spans="1:2" s="19" customFormat="1" ht="24.95" customHeight="1" x14ac:dyDescent="0.25">
      <c r="A37" s="1"/>
      <c r="B37" s="1"/>
    </row>
    <row r="38" spans="1:2" s="19" customFormat="1" ht="24.95" customHeight="1" x14ac:dyDescent="0.25">
      <c r="A38" s="1"/>
      <c r="B38" s="1"/>
    </row>
    <row r="39" spans="1:2" s="19" customFormat="1" ht="24.95" customHeight="1" x14ac:dyDescent="0.25">
      <c r="A39" s="1"/>
      <c r="B39" s="1"/>
    </row>
    <row r="40" spans="1:2" s="19" customFormat="1" ht="24.95" customHeight="1" x14ac:dyDescent="0.25">
      <c r="A40" s="1"/>
      <c r="B40" s="1"/>
    </row>
  </sheetData>
  <conditionalFormatting sqref="A8">
    <cfRule type="dataBar" priority="84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{7BC54C45-CF0B-473E-9636-E0ACBCB37798}</x14:id>
        </ext>
      </extLst>
    </cfRule>
    <cfRule type="dataBar" priority="8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{F306DD25-C377-4226-990C-82EF1387CE67}</x14:id>
        </ext>
      </extLst>
    </cfRule>
    <cfRule type="dataBar" priority="84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{A245DA61-4417-42E1-9030-54872BC2EDA1}</x14:id>
        </ext>
      </extLst>
    </cfRule>
    <cfRule type="dataBar" priority="84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{572BCF7B-12A0-4CBA-85C9-636832A2E231}</x14:id>
        </ext>
      </extLst>
    </cfRule>
    <cfRule type="dataBar" priority="84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{15C543CD-A421-433C-966D-EF474FF44F54}</x14:id>
        </ext>
      </extLst>
    </cfRule>
    <cfRule type="dataBar" priority="8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{6670FE4D-CC9B-4E49-8D43-8BD3EB289FED}</x14:id>
        </ext>
      </extLst>
    </cfRule>
    <cfRule type="dataBar" priority="84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{C3BC3218-761B-4FAA-907C-B9C25700E8EE}</x14:id>
        </ext>
      </extLst>
    </cfRule>
    <cfRule type="dataBar" priority="84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{96A9E137-F712-4EF6-A252-D4BE32A75BDC}</x14:id>
        </ext>
      </extLst>
    </cfRule>
    <cfRule type="dataBar" priority="85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{6166F793-1BFE-47F5-BB84-ACB6DEC429C4}</x14:id>
        </ext>
      </extLst>
    </cfRule>
  </conditionalFormatting>
  <conditionalFormatting sqref="A16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{6C8C6A76-93B7-48D3-A5B0-BB3684F8127C}</x14:id>
        </ext>
      </extLst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{99141F8B-36CE-45B5-8359-F72003989FDA}</x14:id>
        </ext>
      </extLst>
    </cfRule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{F9EB2B40-FF8B-46FE-A248-575F94739AEC}</x14:id>
        </ext>
      </extLst>
    </cfRule>
  </conditionalFormatting>
  <conditionalFormatting sqref="B8">
    <cfRule type="dataBar" priority="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{209ED3CB-EFCC-4497-A07B-E5DD2B81CE82}</x14:id>
        </ext>
      </extLst>
    </cfRule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{0D934493-ACFC-4A2F-BF7D-9E4405505443}</x14:id>
        </ext>
      </extLst>
    </cfRule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{AAA8017D-3BF2-439A-ADE6-AA0FD785204F}</x14:id>
        </ext>
      </extLst>
    </cfRule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{3EFA2B2E-0B9A-4E5C-A658-3518ACAF9F5D}</x14:id>
        </ext>
      </extLst>
    </cfRule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{D41BBD83-F5DC-4420-AFD2-2CFE09157962}</x14:id>
        </ext>
      </extLst>
    </cfRule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{19B80A8D-6435-4092-9D1A-4C9CFE2F832B}</x14:id>
        </ext>
      </extLst>
    </cfRule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{32235B83-CD5B-407D-9396-06F0DD0FF461}</x14:id>
        </ext>
      </extLst>
    </cfRule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{B23BFA02-1334-4C54-88A8-52BF24F8A218}</x14:id>
        </ext>
      </extLst>
    </cfRule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{4D702B27-094C-4DE3-9B50-D33E31167F9C}</x14:id>
        </ext>
      </extLst>
    </cfRule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{C993CE29-AB0C-43A1-AD93-5A544F7424EF}</x14:id>
        </ext>
      </extLst>
    </cfRule>
    <cfRule type="dataBar" priority="1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{C5CFC013-0417-4F50-AB6A-C24418822E7B}</x14:id>
        </ext>
      </extLst>
    </cfRule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{40E563B5-E31F-4DC1-90D3-F17261D355A0}</x14:id>
        </ext>
      </extLst>
    </cfRule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{AE7851A2-9C81-4359-9843-5595FDC19DCE}</x14:id>
        </ext>
      </extLst>
    </cfRule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{C3CD1C43-4D3A-4910-9633-07D437FA311E}</x14:id>
        </ext>
      </extLst>
    </cfRule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{C09E1774-1724-4B46-B61A-9EC003155272}</x14:id>
        </ext>
      </extLst>
    </cfRule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{1B0CBD90-3CC4-4E4B-9FA3-7BFDD2336BB3}</x14:id>
        </ext>
      </extLst>
    </cfRule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{1E28DF29-7247-4CB5-BDC7-6F9088C9C58E}</x14:id>
        </ext>
      </extLst>
    </cfRule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{98956047-AEAD-4B01-B2B8-1692C62748A1}</x14:id>
        </ext>
      </extLst>
    </cfRule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{0D0CACD2-2CAB-4C13-A967-168BD5C9CCBD}</x14:id>
        </ext>
      </extLst>
    </cfRule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{61B9B194-C7B4-46D5-AD86-6BB6EB6AAEBB}</x14:id>
        </ext>
      </extLst>
    </cfRule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{64368952-986B-4434-BED5-6EDA3C5A87F4}</x14:id>
        </ext>
      </extLst>
    </cfRule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{37E56386-D085-4315-B966-3866B26AF6ED}</x14:id>
        </ext>
      </extLst>
    </cfRule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{4D626D61-429A-40F9-9A26-74A71AA17B36}</x14:id>
        </ext>
      </extLst>
    </cfRule>
  </conditionalFormatting>
  <conditionalFormatting sqref="A16">
    <cfRule type="dataBar" priority="8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{836759A5-8E9B-4382-ABDF-8C5F2B41E93C}</x14:id>
        </ext>
      </extLst>
    </cfRule>
    <cfRule type="dataBar" priority="8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{F1C423EA-360B-468F-AA08-D2B5B9F1C769}</x14:id>
        </ext>
      </extLst>
    </cfRule>
  </conditionalFormatting>
  <conditionalFormatting sqref="A8:F8">
    <cfRule type="dataBar" priority="87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{BD3E87AC-463F-4A11-BB8F-BEC4DA8FA9AA}</x14:id>
        </ext>
      </extLst>
    </cfRule>
  </conditionalFormatting>
  <conditionalFormatting sqref="B8">
    <cfRule type="dataBar" priority="8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{7FA3B3B5-9AEB-47FB-87D8-8407D083B28F}</x14:id>
        </ext>
      </extLst>
    </cfRule>
  </conditionalFormatting>
  <conditionalFormatting sqref="B8:F8">
    <cfRule type="dataBar" priority="87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{A1709918-0B9B-4BC0-85B4-DD4BF86121F4}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C54C45-CF0B-473E-9636-E0ACBCB377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06DD25-C377-4226-990C-82EF1387CE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45DA61-4417-42E1-9030-54872BC2ED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2BCF7B-12A0-4CBA-85C9-636832A2E2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C543CD-A421-433C-966D-EF474FF44F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70FE4D-CC9B-4E49-8D43-8BD3EB289F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BC3218-761B-4FAA-907C-B9C25700E8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A9E137-F712-4EF6-A252-D4BE32A75B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66F793-1BFE-47F5-BB84-ACB6DEC429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A8</xm:sqref>
        </x14:conditionalFormatting>
        <x14:conditionalFormatting xmlns:xm="http://schemas.microsoft.com/office/excel/2006/main">
          <x14:cfRule type="dataBar" id="{6C8C6A76-93B7-48D3-A5B0-BB3684F812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141F8B-36CE-45B5-8359-F72003989F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EB2B40-FF8B-46FE-A248-575F94739A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A16</xm:sqref>
        </x14:conditionalFormatting>
        <x14:conditionalFormatting xmlns:xm="http://schemas.microsoft.com/office/excel/2006/main">
          <x14:cfRule type="dataBar" id="{209ED3CB-EFCC-4497-A07B-E5DD2B81CE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934493-ACFC-4A2F-BF7D-9E44055054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A8017D-3BF2-439A-ADE6-AA0FD78520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FA2B2E-0B9A-4E5C-A658-3518ACAF9F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1BBD83-F5DC-4420-AFD2-2CFE091579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B80A8D-6435-4092-9D1A-4C9CFE2F83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235B83-CD5B-407D-9396-06F0DD0FF4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3BFA02-1334-4C54-88A8-52BF24F8A2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702B27-094C-4DE3-9B50-D33E31167F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93CE29-AB0C-43A1-AD93-5A544F7424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CFC013-0417-4F50-AB6A-C24418822E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E563B5-E31F-4DC1-90D3-F17261D355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7851A2-9C81-4359-9843-5595FDC19D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CD1C43-4D3A-4910-9633-07D437FA31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9E1774-1724-4B46-B61A-9EC0031552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0CBD90-3CC4-4E4B-9FA3-7BFDD2336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28DF29-7247-4CB5-BDC7-6F9088C9C5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956047-AEAD-4B01-B2B8-1692C6274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0CACD2-2CAB-4C13-A967-168BD5C9CC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B9B194-C7B4-46D5-AD86-6BB6EB6AAE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368952-986B-4434-BED5-6EDA3C5A87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E56386-D085-4315-B966-3866B26AF6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626D61-429A-40F9-9A26-74A71AA17B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836759A5-8E9B-4382-ABDF-8C5F2B41E9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C423EA-360B-468F-AA08-D2B5B9F1C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A16</xm:sqref>
        </x14:conditionalFormatting>
        <x14:conditionalFormatting xmlns:xm="http://schemas.microsoft.com/office/excel/2006/main">
          <x14:cfRule type="dataBar" id="{BD3E87AC-463F-4A11-BB8F-BEC4DA8FA9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A8:F8</xm:sqref>
        </x14:conditionalFormatting>
        <x14:conditionalFormatting xmlns:xm="http://schemas.microsoft.com/office/excel/2006/main">
          <x14:cfRule type="dataBar" id="{7FA3B3B5-9AEB-47FB-87D8-8407D083B2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A1709918-0B9B-4BC0-85B4-DD4BF86121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B8:F8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CC99-B9CF-4B3D-A9C8-DD550109CD72}">
  <sheetPr>
    <pageSetUpPr fitToPage="1"/>
  </sheetPr>
  <dimension ref="A1:I55"/>
  <sheetViews>
    <sheetView zoomScaleNormal="100" workbookViewId="0">
      <selection activeCell="B5" sqref="B5:C5"/>
    </sheetView>
  </sheetViews>
  <sheetFormatPr defaultColWidth="15.7109375" defaultRowHeight="20.100000000000001" customHeight="1" x14ac:dyDescent="0.25"/>
  <cols>
    <col min="1" max="1" width="6.7109375" style="1" customWidth="1"/>
    <col min="2" max="2" width="18.7109375" style="1" customWidth="1"/>
    <col min="3" max="3" width="13.140625" style="1" customWidth="1"/>
    <col min="4" max="5" width="6.7109375" style="1" customWidth="1"/>
    <col min="6" max="6" width="18.7109375" style="1" customWidth="1"/>
    <col min="7" max="7" width="13.140625" style="1" customWidth="1"/>
    <col min="8" max="8" width="6.7109375" style="1" customWidth="1"/>
    <col min="9" max="9" width="18.7109375" style="1" customWidth="1"/>
    <col min="10" max="10" width="13.140625" style="1" customWidth="1"/>
    <col min="11" max="16384" width="15.7109375" style="1"/>
  </cols>
  <sheetData>
    <row r="1" spans="1:9" ht="20.100000000000001" customHeight="1" x14ac:dyDescent="0.25">
      <c r="A1" s="16"/>
      <c r="B1" s="30">
        <f ca="1">NOW()</f>
        <v>46064.458246296294</v>
      </c>
      <c r="C1" s="30"/>
      <c r="D1" s="16"/>
      <c r="H1" s="16"/>
      <c r="I1" s="16"/>
    </row>
    <row r="2" spans="1:9" ht="20.100000000000001" customHeight="1" x14ac:dyDescent="0.25">
      <c r="A2" s="16"/>
      <c r="B2" s="30"/>
      <c r="C2" s="30"/>
      <c r="D2" s="16"/>
    </row>
    <row r="3" spans="1:9" ht="20.100000000000001" customHeight="1" thickBot="1" x14ac:dyDescent="0.3">
      <c r="B3" s="22" t="s">
        <v>10</v>
      </c>
      <c r="C3" s="22">
        <v>46036</v>
      </c>
    </row>
    <row r="4" spans="1:9" ht="20.100000000000001" customHeight="1" thickBot="1" x14ac:dyDescent="0.3">
      <c r="B4" s="9" t="s">
        <v>0</v>
      </c>
      <c r="C4" s="12">
        <f>[1]DADOS!$N$12</f>
        <v>0.94063926940639264</v>
      </c>
    </row>
    <row r="5" spans="1:9" ht="30" customHeight="1" x14ac:dyDescent="0.25">
      <c r="B5" s="28" t="s">
        <v>21</v>
      </c>
      <c r="C5" s="29"/>
    </row>
    <row r="6" spans="1:9" ht="20.100000000000001" customHeight="1" x14ac:dyDescent="0.25">
      <c r="B6" s="5" t="s">
        <v>1</v>
      </c>
      <c r="C6" s="3">
        <f>[1]DADOS!$J$12</f>
        <v>1</v>
      </c>
    </row>
    <row r="7" spans="1:9" ht="20.100000000000001" customHeight="1" x14ac:dyDescent="0.25">
      <c r="B7" s="5" t="s">
        <v>2</v>
      </c>
      <c r="C7" s="3">
        <f>[1]DADOS!$J$40</f>
        <v>1</v>
      </c>
    </row>
    <row r="8" spans="1:9" ht="20.100000000000001" customHeight="1" x14ac:dyDescent="0.25">
      <c r="B8" s="6"/>
      <c r="C8" s="6"/>
    </row>
    <row r="9" spans="1:9" ht="20.100000000000001" customHeight="1" x14ac:dyDescent="0.25">
      <c r="B9" s="5" t="s">
        <v>3</v>
      </c>
      <c r="C9" s="3">
        <f>[1]DADOS!$J$54</f>
        <v>1</v>
      </c>
    </row>
    <row r="10" spans="1:9" ht="20.100000000000001" customHeight="1" x14ac:dyDescent="0.25">
      <c r="B10" s="5" t="s">
        <v>7</v>
      </c>
      <c r="C10" s="3">
        <f>[1]DADOS!$J$82</f>
        <v>1</v>
      </c>
    </row>
    <row r="11" spans="1:9" ht="20.100000000000001" customHeight="1" x14ac:dyDescent="0.25">
      <c r="B11" s="6"/>
      <c r="C11" s="6"/>
    </row>
    <row r="12" spans="1:9" ht="20.100000000000001" customHeight="1" x14ac:dyDescent="0.25">
      <c r="B12" s="5" t="s">
        <v>11</v>
      </c>
      <c r="C12" s="3">
        <f>[1]DADOS!$J$96</f>
        <v>0.95454545454545459</v>
      </c>
    </row>
    <row r="13" spans="1:9" ht="20.100000000000001" customHeight="1" x14ac:dyDescent="0.25">
      <c r="B13" s="5" t="s">
        <v>12</v>
      </c>
      <c r="C13" s="3">
        <f>[1]DADOS!$J$152</f>
        <v>0.91666666666666663</v>
      </c>
    </row>
    <row r="15" spans="1:9" ht="20.100000000000001" customHeight="1" x14ac:dyDescent="0.25">
      <c r="B15" s="5" t="s">
        <v>13</v>
      </c>
      <c r="C15" s="3">
        <f>[1]DADOS!$J$222</f>
        <v>1</v>
      </c>
    </row>
    <row r="16" spans="1:9" ht="20.100000000000001" customHeight="1" x14ac:dyDescent="0.25">
      <c r="B16" s="5" t="s">
        <v>14</v>
      </c>
      <c r="C16" s="3">
        <f>[1]DADOS!$J$250</f>
        <v>1</v>
      </c>
    </row>
    <row r="18" spans="2:3" ht="20.100000000000001" customHeight="1" x14ac:dyDescent="0.25">
      <c r="B18" s="5" t="s">
        <v>4</v>
      </c>
      <c r="C18" s="3">
        <f>[1]DADOS!$J$264</f>
        <v>1</v>
      </c>
    </row>
    <row r="19" spans="2:3" ht="20.100000000000001" customHeight="1" x14ac:dyDescent="0.25">
      <c r="B19" s="5" t="s">
        <v>8</v>
      </c>
      <c r="C19" s="3">
        <f>[1]DADOS!$J$292</f>
        <v>0.87037037037037035</v>
      </c>
    </row>
    <row r="20" spans="2:3" ht="20.100000000000001" customHeight="1" x14ac:dyDescent="0.25">
      <c r="B20" s="5" t="s">
        <v>5</v>
      </c>
      <c r="C20" s="3">
        <f>[1]DADOS!$J$362</f>
        <v>1</v>
      </c>
    </row>
    <row r="21" spans="2:3" ht="20.100000000000001" customHeight="1" x14ac:dyDescent="0.25">
      <c r="B21" s="6"/>
      <c r="C21" s="6"/>
    </row>
    <row r="22" spans="2:3" ht="20.100000000000001" customHeight="1" x14ac:dyDescent="0.25">
      <c r="B22" s="5" t="s">
        <v>6</v>
      </c>
      <c r="C22" s="3">
        <f>[1]DADOS!$J$376</f>
        <v>1</v>
      </c>
    </row>
    <row r="28" spans="2:3" ht="30" customHeight="1" x14ac:dyDescent="0.25"/>
    <row r="55" ht="30" customHeight="1" x14ac:dyDescent="0.25"/>
  </sheetData>
  <mergeCells count="2">
    <mergeCell ref="B5:C5"/>
    <mergeCell ref="B1:C2"/>
  </mergeCells>
  <conditionalFormatting sqref="A23:A24 D23">
    <cfRule type="colorScale" priority="8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5:A47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:C22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B13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B16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C7 B9:C13 B18:C22 C15:C16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C13 B18:C22 C15:C16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C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 A45 A23:A24">
    <cfRule type="colorScale" priority="8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">
    <cfRule type="colorScale" priority="80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:A24 D23">
    <cfRule type="colorScale" priority="87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:D22">
    <cfRule type="colorScale" priority="87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:D22">
    <cfRule type="colorScale" priority="87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:D24">
    <cfRule type="colorScale" priority="87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D24">
    <cfRule type="colorScale" priority="87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D24">
    <cfRule type="colorScale" priority="87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5:C5" r:id="rId1" display="04 - STB" xr:uid="{A230590A-5A22-4079-B341-A6E345252876}"/>
  </hyperlinks>
  <printOptions horizontalCentered="1" verticalCentered="1"/>
  <pageMargins left="0" right="0.59055118110236227" top="0" bottom="0" header="0" footer="0"/>
  <pageSetup paperSize="9" scale="73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572A-7DA4-483A-9040-6FCB39A7777F}">
  <sheetPr>
    <pageSetUpPr fitToPage="1"/>
  </sheetPr>
  <dimension ref="A1:W106"/>
  <sheetViews>
    <sheetView zoomScale="70" zoomScaleNormal="70" workbookViewId="0">
      <selection activeCell="F4" sqref="F4"/>
    </sheetView>
  </sheetViews>
  <sheetFormatPr defaultRowHeight="15" x14ac:dyDescent="0.25"/>
  <cols>
    <col min="1" max="1" width="16.85546875" style="21" customWidth="1"/>
    <col min="2" max="2" width="13.7109375" style="21" bestFit="1" customWidth="1"/>
    <col min="3" max="3" width="8.42578125" style="13" customWidth="1"/>
    <col min="4" max="4" width="3.5703125" style="13" customWidth="1"/>
    <col min="5" max="5" width="24" style="1" bestFit="1" customWidth="1"/>
    <col min="6" max="6" width="24.85546875" style="1" bestFit="1" customWidth="1"/>
    <col min="7" max="7" width="19.140625" style="1" bestFit="1" customWidth="1"/>
    <col min="8" max="8" width="7" style="1" customWidth="1"/>
    <col min="9" max="9" width="16" style="1" bestFit="1" customWidth="1"/>
    <col min="10" max="10" width="14.42578125" style="1" bestFit="1" customWidth="1"/>
    <col min="11" max="11" width="12.28515625" style="1" bestFit="1" customWidth="1"/>
    <col min="12" max="12" width="7.140625" style="1" bestFit="1" customWidth="1"/>
    <col min="13" max="13" width="10" style="1" bestFit="1" customWidth="1"/>
    <col min="14" max="14" width="14.42578125" style="1" bestFit="1" customWidth="1"/>
    <col min="15" max="15" width="9" style="1" bestFit="1" customWidth="1"/>
    <col min="16" max="16" width="16.28515625" style="1" bestFit="1" customWidth="1"/>
    <col min="17" max="17" width="13.42578125" style="1" bestFit="1" customWidth="1"/>
    <col min="18" max="18" width="13.5703125" style="1" bestFit="1" customWidth="1"/>
    <col min="19" max="19" width="8.140625" style="1" bestFit="1" customWidth="1"/>
    <col min="20" max="20" width="13.85546875" style="1" bestFit="1" customWidth="1"/>
    <col min="21" max="22" width="11" style="1" bestFit="1" customWidth="1"/>
    <col min="23" max="23" width="7" style="1" bestFit="1" customWidth="1"/>
    <col min="24" max="24" width="10.7109375" style="1" bestFit="1" customWidth="1"/>
    <col min="25" max="16384" width="9.140625" style="1"/>
  </cols>
  <sheetData>
    <row r="1" spans="1:23" x14ac:dyDescent="0.25">
      <c r="A1" s="21" t="s">
        <v>15</v>
      </c>
      <c r="B1" s="21" t="s">
        <v>16</v>
      </c>
      <c r="C1" s="13" t="s">
        <v>17</v>
      </c>
      <c r="E1" s="15" t="s">
        <v>19</v>
      </c>
      <c r="F1" t="s">
        <v>20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</row>
    <row r="2" spans="1:23" x14ac:dyDescent="0.25">
      <c r="A2" s="21" t="s">
        <v>21</v>
      </c>
      <c r="B2" s="21" t="s">
        <v>1</v>
      </c>
      <c r="C2" s="13">
        <f>[1]DADOS!$J$12</f>
        <v>1</v>
      </c>
      <c r="D2" s="20"/>
      <c r="E2" s="14" t="s">
        <v>22</v>
      </c>
      <c r="F2" s="17">
        <v>0.97846520763187428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 spans="1:23" x14ac:dyDescent="0.25">
      <c r="A3" s="21" t="s">
        <v>21</v>
      </c>
      <c r="B3" s="21" t="s">
        <v>2</v>
      </c>
      <c r="C3" s="13">
        <f>[1]DADOS!$J$40</f>
        <v>1</v>
      </c>
      <c r="D3" s="20"/>
      <c r="E3" s="14" t="s">
        <v>18</v>
      </c>
      <c r="F3" s="17">
        <v>0.97846520763187428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 spans="1:23" x14ac:dyDescent="0.25">
      <c r="A4" s="21" t="s">
        <v>21</v>
      </c>
      <c r="B4" s="21" t="s">
        <v>3</v>
      </c>
      <c r="C4" s="13">
        <f>[1]DADOS!$J$54</f>
        <v>1</v>
      </c>
      <c r="D4" s="20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</row>
    <row r="5" spans="1:23" x14ac:dyDescent="0.25">
      <c r="A5" s="21" t="s">
        <v>21</v>
      </c>
      <c r="B5" s="21" t="s">
        <v>7</v>
      </c>
      <c r="C5" s="13">
        <f>[1]DADOS!$J$82</f>
        <v>1</v>
      </c>
      <c r="D5" s="20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</row>
    <row r="6" spans="1:23" x14ac:dyDescent="0.25">
      <c r="A6" s="21" t="s">
        <v>21</v>
      </c>
      <c r="B6" s="21" t="s">
        <v>11</v>
      </c>
      <c r="C6" s="13">
        <f>[1]DADOS!$J$96</f>
        <v>0.95454545454545459</v>
      </c>
      <c r="D6" s="20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</row>
    <row r="7" spans="1:23" x14ac:dyDescent="0.25">
      <c r="A7" s="21" t="s">
        <v>21</v>
      </c>
      <c r="B7" s="21" t="s">
        <v>12</v>
      </c>
      <c r="C7" s="13">
        <f>[1]DADOS!$J$152</f>
        <v>0.91666666666666663</v>
      </c>
      <c r="D7" s="20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</row>
    <row r="8" spans="1:23" x14ac:dyDescent="0.25">
      <c r="A8" s="21" t="s">
        <v>21</v>
      </c>
      <c r="B8" s="21" t="s">
        <v>13</v>
      </c>
      <c r="C8" s="13">
        <f>[1]DADOS!$J$222</f>
        <v>1</v>
      </c>
      <c r="D8" s="20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</row>
    <row r="9" spans="1:23" x14ac:dyDescent="0.25">
      <c r="A9" s="21" t="s">
        <v>21</v>
      </c>
      <c r="B9" s="21" t="s">
        <v>14</v>
      </c>
      <c r="C9" s="13">
        <f>[1]DADOS!$J$250</f>
        <v>1</v>
      </c>
      <c r="D9" s="20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 spans="1:23" x14ac:dyDescent="0.25">
      <c r="A10" s="21" t="s">
        <v>21</v>
      </c>
      <c r="B10" s="21" t="s">
        <v>4</v>
      </c>
      <c r="C10" s="13">
        <f>[1]DADOS!$J$264</f>
        <v>1</v>
      </c>
      <c r="D10" s="2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</row>
    <row r="11" spans="1:23" x14ac:dyDescent="0.25">
      <c r="A11" s="21" t="s">
        <v>21</v>
      </c>
      <c r="B11" s="21" t="s">
        <v>8</v>
      </c>
      <c r="C11" s="13">
        <f>[1]DADOS!$J$292</f>
        <v>0.87037037037037035</v>
      </c>
      <c r="D11" s="20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</row>
    <row r="12" spans="1:23" x14ac:dyDescent="0.25">
      <c r="A12" s="21" t="s">
        <v>21</v>
      </c>
      <c r="B12" s="21" t="s">
        <v>5</v>
      </c>
      <c r="C12" s="13">
        <f>[1]DADOS!$J$362</f>
        <v>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x14ac:dyDescent="0.25">
      <c r="A13" s="21" t="s">
        <v>21</v>
      </c>
      <c r="B13" s="21" t="s">
        <v>6</v>
      </c>
      <c r="C13" s="13">
        <f>[1]DADOS!$J$376</f>
        <v>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</row>
    <row r="14" spans="1:23" x14ac:dyDescent="0.25">
      <c r="E14"/>
      <c r="F14"/>
      <c r="K14"/>
    </row>
    <row r="15" spans="1:23" x14ac:dyDescent="0.25">
      <c r="E15"/>
      <c r="F15"/>
      <c r="K15"/>
    </row>
    <row r="16" spans="1:23" x14ac:dyDescent="0.25">
      <c r="E16"/>
      <c r="F16"/>
      <c r="K16"/>
    </row>
    <row r="17" spans="3:11" x14ac:dyDescent="0.25">
      <c r="D17" s="20"/>
      <c r="E17"/>
      <c r="F17"/>
      <c r="K17"/>
    </row>
    <row r="18" spans="3:11" x14ac:dyDescent="0.25">
      <c r="C18" s="20"/>
      <c r="D18" s="20"/>
      <c r="E18"/>
      <c r="F18"/>
      <c r="K18"/>
    </row>
    <row r="19" spans="3:11" x14ac:dyDescent="0.25">
      <c r="C19" s="20"/>
      <c r="D19" s="20"/>
      <c r="E19"/>
      <c r="F19"/>
      <c r="K19"/>
    </row>
    <row r="20" spans="3:11" x14ac:dyDescent="0.25">
      <c r="C20" s="20"/>
      <c r="D20" s="20"/>
      <c r="E20"/>
      <c r="F20"/>
      <c r="K20"/>
    </row>
    <row r="21" spans="3:11" x14ac:dyDescent="0.25">
      <c r="C21" s="20"/>
      <c r="D21" s="20"/>
      <c r="E21"/>
      <c r="F21"/>
      <c r="K21"/>
    </row>
    <row r="22" spans="3:11" x14ac:dyDescent="0.25">
      <c r="C22" s="20"/>
      <c r="E22"/>
      <c r="F22"/>
      <c r="K22"/>
    </row>
    <row r="23" spans="3:11" x14ac:dyDescent="0.25">
      <c r="D23" s="20"/>
      <c r="E23"/>
      <c r="F23"/>
      <c r="K23"/>
    </row>
    <row r="24" spans="3:11" x14ac:dyDescent="0.25">
      <c r="C24" s="20"/>
      <c r="E24"/>
      <c r="F24"/>
      <c r="K24"/>
    </row>
    <row r="25" spans="3:11" x14ac:dyDescent="0.25">
      <c r="C25" s="20"/>
      <c r="E25"/>
      <c r="F25"/>
      <c r="K25"/>
    </row>
    <row r="26" spans="3:11" x14ac:dyDescent="0.25">
      <c r="C26" s="20"/>
      <c r="E26"/>
      <c r="F26"/>
      <c r="K26"/>
    </row>
    <row r="27" spans="3:11" x14ac:dyDescent="0.25">
      <c r="C27" s="20"/>
      <c r="E27"/>
      <c r="F27"/>
      <c r="K27"/>
    </row>
    <row r="28" spans="3:11" x14ac:dyDescent="0.25">
      <c r="C28" s="20"/>
      <c r="D28" s="20"/>
      <c r="E28"/>
      <c r="F28"/>
      <c r="K28"/>
    </row>
    <row r="29" spans="3:11" x14ac:dyDescent="0.25">
      <c r="C29" s="20"/>
      <c r="D29" s="20"/>
      <c r="E29"/>
      <c r="F29"/>
      <c r="K29"/>
    </row>
    <row r="30" spans="3:11" x14ac:dyDescent="0.25">
      <c r="C30" s="20"/>
      <c r="D30" s="20"/>
      <c r="E30"/>
      <c r="F30"/>
      <c r="K30"/>
    </row>
    <row r="31" spans="3:11" x14ac:dyDescent="0.25">
      <c r="C31" s="20"/>
      <c r="D31" s="20"/>
      <c r="E31"/>
      <c r="F31"/>
      <c r="K31"/>
    </row>
    <row r="32" spans="3:11" x14ac:dyDescent="0.25">
      <c r="C32" s="20"/>
      <c r="D32" s="20"/>
      <c r="E32"/>
      <c r="F32"/>
    </row>
    <row r="33" spans="3:6" x14ac:dyDescent="0.25">
      <c r="C33" s="20"/>
      <c r="D33" s="20"/>
      <c r="E33"/>
      <c r="F33"/>
    </row>
    <row r="34" spans="3:6" x14ac:dyDescent="0.25">
      <c r="C34" s="20"/>
      <c r="D34" s="20"/>
      <c r="E34"/>
      <c r="F34"/>
    </row>
    <row r="35" spans="3:6" x14ac:dyDescent="0.25">
      <c r="E35"/>
      <c r="F35"/>
    </row>
    <row r="36" spans="3:6" x14ac:dyDescent="0.25">
      <c r="E36"/>
      <c r="F36"/>
    </row>
    <row r="37" spans="3:6" x14ac:dyDescent="0.25">
      <c r="E37"/>
      <c r="F37"/>
    </row>
    <row r="38" spans="3:6" x14ac:dyDescent="0.25">
      <c r="E38"/>
      <c r="F38"/>
    </row>
    <row r="39" spans="3:6" x14ac:dyDescent="0.25">
      <c r="C39" s="20"/>
      <c r="E39"/>
      <c r="F39"/>
    </row>
    <row r="40" spans="3:6" x14ac:dyDescent="0.25">
      <c r="C40" s="20"/>
      <c r="E40"/>
      <c r="F40"/>
    </row>
    <row r="41" spans="3:6" x14ac:dyDescent="0.25">
      <c r="C41" s="20"/>
      <c r="E41"/>
      <c r="F41"/>
    </row>
    <row r="42" spans="3:6" x14ac:dyDescent="0.25">
      <c r="C42" s="20"/>
      <c r="D42" s="20"/>
      <c r="F42"/>
    </row>
    <row r="43" spans="3:6" x14ac:dyDescent="0.25">
      <c r="C43" s="20"/>
      <c r="F43"/>
    </row>
    <row r="44" spans="3:6" x14ac:dyDescent="0.25">
      <c r="C44" s="20"/>
      <c r="F44"/>
    </row>
    <row r="45" spans="3:6" x14ac:dyDescent="0.25">
      <c r="C45" s="20"/>
      <c r="F45"/>
    </row>
    <row r="46" spans="3:6" x14ac:dyDescent="0.25">
      <c r="C46" s="20"/>
      <c r="F46"/>
    </row>
    <row r="47" spans="3:6" x14ac:dyDescent="0.25">
      <c r="C47" s="20"/>
      <c r="D47" s="20"/>
      <c r="F47"/>
    </row>
    <row r="48" spans="3:6" x14ac:dyDescent="0.25">
      <c r="C48" s="20"/>
      <c r="D48" s="20"/>
    </row>
    <row r="49" spans="3:5" x14ac:dyDescent="0.25">
      <c r="C49" s="20"/>
      <c r="D49" s="20"/>
      <c r="E49"/>
    </row>
    <row r="50" spans="3:5" x14ac:dyDescent="0.25">
      <c r="C50" s="20"/>
      <c r="D50" s="20"/>
      <c r="E50"/>
    </row>
    <row r="51" spans="3:5" x14ac:dyDescent="0.25">
      <c r="C51" s="20"/>
      <c r="D51" s="20"/>
      <c r="E51"/>
    </row>
    <row r="52" spans="3:5" x14ac:dyDescent="0.25">
      <c r="C52" s="20"/>
      <c r="D52" s="20"/>
      <c r="E52"/>
    </row>
    <row r="53" spans="3:5" x14ac:dyDescent="0.25">
      <c r="C53" s="20"/>
      <c r="D53" s="20"/>
      <c r="E53"/>
    </row>
    <row r="54" spans="3:5" x14ac:dyDescent="0.25">
      <c r="C54" s="20"/>
      <c r="D54" s="20"/>
      <c r="E54"/>
    </row>
    <row r="55" spans="3:5" x14ac:dyDescent="0.25">
      <c r="C55" s="20"/>
      <c r="D55" s="20"/>
      <c r="E55"/>
    </row>
    <row r="56" spans="3:5" x14ac:dyDescent="0.25">
      <c r="C56" s="20"/>
      <c r="D56" s="20"/>
      <c r="E56"/>
    </row>
    <row r="57" spans="3:5" x14ac:dyDescent="0.25">
      <c r="D57" s="20"/>
      <c r="E57"/>
    </row>
    <row r="58" spans="3:5" x14ac:dyDescent="0.25">
      <c r="D58" s="20"/>
      <c r="E58"/>
    </row>
    <row r="59" spans="3:5" x14ac:dyDescent="0.25">
      <c r="D59" s="20"/>
      <c r="E59"/>
    </row>
    <row r="81" spans="6:8" ht="15.75" x14ac:dyDescent="0.25">
      <c r="F81"/>
      <c r="G81" s="6"/>
      <c r="H81" s="6"/>
    </row>
    <row r="82" spans="6:8" ht="15.75" x14ac:dyDescent="0.25">
      <c r="F82"/>
      <c r="G82" s="6"/>
      <c r="H82" s="6"/>
    </row>
    <row r="83" spans="6:8" ht="15.75" x14ac:dyDescent="0.25">
      <c r="F83"/>
      <c r="G83" s="6"/>
      <c r="H83" s="6"/>
    </row>
    <row r="84" spans="6:8" ht="15.75" x14ac:dyDescent="0.25">
      <c r="F84"/>
      <c r="G84" s="6"/>
      <c r="H84" s="6"/>
    </row>
    <row r="85" spans="6:8" ht="15.75" x14ac:dyDescent="0.25">
      <c r="F85"/>
      <c r="G85" s="6"/>
      <c r="H85" s="6"/>
    </row>
    <row r="86" spans="6:8" ht="15.75" x14ac:dyDescent="0.25">
      <c r="F86"/>
      <c r="G86" s="6"/>
      <c r="H86" s="6"/>
    </row>
    <row r="87" spans="6:8" ht="15.75" x14ac:dyDescent="0.25">
      <c r="F87"/>
      <c r="G87" s="6"/>
      <c r="H87" s="6"/>
    </row>
    <row r="88" spans="6:8" ht="15.75" x14ac:dyDescent="0.25">
      <c r="F88"/>
      <c r="G88" s="6"/>
      <c r="H88" s="6"/>
    </row>
    <row r="89" spans="6:8" ht="15.75" x14ac:dyDescent="0.25">
      <c r="F89"/>
      <c r="G89" s="6"/>
      <c r="H89" s="6"/>
    </row>
    <row r="90" spans="6:8" ht="15.75" x14ac:dyDescent="0.25">
      <c r="F90"/>
      <c r="G90" s="6"/>
      <c r="H90" s="6"/>
    </row>
    <row r="91" spans="6:8" ht="15.75" x14ac:dyDescent="0.25">
      <c r="F91"/>
      <c r="G91" s="6"/>
      <c r="H91" s="6"/>
    </row>
    <row r="92" spans="6:8" ht="15.75" x14ac:dyDescent="0.25">
      <c r="F92"/>
      <c r="G92" s="6"/>
      <c r="H92" s="6"/>
    </row>
    <row r="93" spans="6:8" ht="15.75" x14ac:dyDescent="0.25">
      <c r="F93"/>
      <c r="G93" s="6"/>
      <c r="H93" s="6"/>
    </row>
    <row r="94" spans="6:8" ht="15.75" x14ac:dyDescent="0.25">
      <c r="F94"/>
      <c r="G94" s="6"/>
      <c r="H94" s="6"/>
    </row>
    <row r="95" spans="6:8" ht="15.75" x14ac:dyDescent="0.25">
      <c r="F95"/>
      <c r="G95" s="6"/>
      <c r="H95" s="6"/>
    </row>
    <row r="96" spans="6:8" ht="15.75" x14ac:dyDescent="0.25">
      <c r="F96"/>
      <c r="G96" s="6"/>
      <c r="H96" s="6"/>
    </row>
    <row r="97" spans="6:7" x14ac:dyDescent="0.25">
      <c r="F97"/>
      <c r="G97"/>
    </row>
    <row r="98" spans="6:7" x14ac:dyDescent="0.25">
      <c r="F98"/>
      <c r="G98"/>
    </row>
    <row r="99" spans="6:7" x14ac:dyDescent="0.25">
      <c r="F99"/>
      <c r="G99"/>
    </row>
    <row r="100" spans="6:7" x14ac:dyDescent="0.25">
      <c r="F100"/>
      <c r="G100"/>
    </row>
    <row r="101" spans="6:7" x14ac:dyDescent="0.25">
      <c r="F101"/>
      <c r="G101"/>
    </row>
    <row r="102" spans="6:7" x14ac:dyDescent="0.25">
      <c r="F102"/>
      <c r="G102"/>
    </row>
    <row r="103" spans="6:7" x14ac:dyDescent="0.25">
      <c r="F103"/>
      <c r="G103"/>
    </row>
    <row r="104" spans="6:7" x14ac:dyDescent="0.25">
      <c r="F104"/>
      <c r="G104"/>
    </row>
    <row r="105" spans="6:7" x14ac:dyDescent="0.25">
      <c r="F105"/>
      <c r="G105"/>
    </row>
    <row r="106" spans="6:7" x14ac:dyDescent="0.25">
      <c r="F106"/>
      <c r="G106"/>
    </row>
  </sheetData>
  <sortState xmlns:xlrd2="http://schemas.microsoft.com/office/spreadsheetml/2017/richdata2" ref="F48:H96">
    <sortCondition ref="F48:F96"/>
  </sortState>
  <conditionalFormatting sqref="G81:H96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4:K64 F81:H9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scale="43" orientation="landscape" r:id="rId2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DBBD-096A-4A59-8DA4-CAE337B8355C}">
  <dimension ref="B1:AD32"/>
  <sheetViews>
    <sheetView tabSelected="1" zoomScale="70" zoomScaleNormal="70" workbookViewId="0">
      <selection activeCell="F28" sqref="F28"/>
    </sheetView>
  </sheetViews>
  <sheetFormatPr defaultRowHeight="20.100000000000001" customHeight="1" x14ac:dyDescent="0.25"/>
  <cols>
    <col min="1" max="1" width="2.7109375" style="4" customWidth="1"/>
    <col min="2" max="2" width="20.7109375" style="4" customWidth="1"/>
    <col min="3" max="3" width="15.7109375" style="4" customWidth="1"/>
    <col min="4" max="4" width="5.7109375" style="4" customWidth="1"/>
    <col min="5" max="5" width="20.7109375" style="4" customWidth="1"/>
    <col min="6" max="6" width="15.7109375" style="4" customWidth="1"/>
    <col min="7" max="7" width="5.7109375" style="4" customWidth="1"/>
    <col min="8" max="8" width="20.7109375" style="4" customWidth="1"/>
    <col min="9" max="9" width="15.7109375" style="4" customWidth="1"/>
    <col min="10" max="10" width="5.7109375" style="4" customWidth="1"/>
    <col min="11" max="11" width="20.7109375" style="4" customWidth="1"/>
    <col min="12" max="12" width="15.7109375" style="4" customWidth="1"/>
    <col min="13" max="13" width="5.7109375" style="4" customWidth="1"/>
    <col min="14" max="14" width="20.7109375" style="4" customWidth="1"/>
    <col min="15" max="15" width="15.7109375" style="4" customWidth="1"/>
    <col min="16" max="16" width="5.7109375" style="4" customWidth="1"/>
    <col min="17" max="17" width="20.7109375" style="4" customWidth="1"/>
    <col min="18" max="18" width="15.7109375" style="4" customWidth="1"/>
    <col min="19" max="19" width="5.7109375" style="4" customWidth="1"/>
    <col min="20" max="20" width="20.7109375" style="4" customWidth="1"/>
    <col min="21" max="21" width="15.7109375" style="4" customWidth="1"/>
    <col min="22" max="22" width="5.7109375" style="4" customWidth="1"/>
    <col min="23" max="23" width="20.7109375" style="4" customWidth="1"/>
    <col min="24" max="24" width="15.7109375" style="4" customWidth="1"/>
    <col min="25" max="25" width="5.7109375" style="4" customWidth="1"/>
    <col min="26" max="26" width="20.7109375" style="4" customWidth="1"/>
    <col min="27" max="27" width="15.7109375" style="4" customWidth="1"/>
    <col min="28" max="28" width="5.7109375" style="4" customWidth="1"/>
    <col min="29" max="29" width="20.7109375" style="4" customWidth="1"/>
    <col min="30" max="30" width="15.7109375" style="4" customWidth="1"/>
    <col min="31" max="16384" width="9.140625" style="4"/>
  </cols>
  <sheetData>
    <row r="1" spans="2:26" ht="20.100000000000001" customHeight="1" x14ac:dyDescent="0.25">
      <c r="B1" s="7"/>
      <c r="E1" s="7"/>
      <c r="F1" s="6"/>
      <c r="G1" s="6"/>
      <c r="H1" s="6"/>
      <c r="I1" s="6"/>
      <c r="J1" s="6"/>
      <c r="T1" s="6"/>
      <c r="U1" s="6"/>
      <c r="V1" s="6"/>
    </row>
    <row r="2" spans="2:26" ht="20.100000000000001" customHeight="1" x14ac:dyDescent="0.25">
      <c r="T2" s="8"/>
      <c r="Z2" s="6"/>
    </row>
    <row r="3" spans="2:26" ht="20.100000000000001" customHeight="1" x14ac:dyDescent="0.25">
      <c r="Z3" s="6"/>
    </row>
    <row r="4" spans="2:26" s="10" customFormat="1" ht="20.100000000000001" customHeight="1" x14ac:dyDescent="0.3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Z4" s="11"/>
    </row>
    <row r="5" spans="2:26" ht="20.100000000000001" customHeight="1" x14ac:dyDescent="0.25">
      <c r="Z5" s="6"/>
    </row>
    <row r="6" spans="2:26" ht="20.100000000000001" customHeight="1" x14ac:dyDescent="0.25">
      <c r="Z6" s="6"/>
    </row>
    <row r="7" spans="2:26" ht="20.100000000000001" customHeight="1" x14ac:dyDescent="0.25">
      <c r="Z7" s="6"/>
    </row>
    <row r="8" spans="2:26" ht="20.100000000000001" customHeight="1" x14ac:dyDescent="0.25">
      <c r="Z8" s="6"/>
    </row>
    <row r="9" spans="2:26" ht="20.100000000000001" customHeight="1" x14ac:dyDescent="0.25">
      <c r="Z9" s="6"/>
    </row>
    <row r="10" spans="2:26" ht="20.100000000000001" customHeight="1" x14ac:dyDescent="0.25">
      <c r="Z10" s="6"/>
    </row>
    <row r="11" spans="2:26" ht="20.100000000000001" customHeight="1" x14ac:dyDescent="0.25">
      <c r="Z11" s="6"/>
    </row>
    <row r="12" spans="2:26" ht="20.100000000000001" customHeight="1" x14ac:dyDescent="0.25">
      <c r="Z12" s="6"/>
    </row>
    <row r="13" spans="2:26" ht="20.100000000000001" customHeight="1" x14ac:dyDescent="0.25">
      <c r="Z13" s="6"/>
    </row>
    <row r="14" spans="2:26" ht="20.100000000000001" customHeight="1" x14ac:dyDescent="0.25">
      <c r="Z14" s="6"/>
    </row>
    <row r="15" spans="2:26" ht="20.100000000000001" customHeight="1" x14ac:dyDescent="0.25">
      <c r="Z15" s="6"/>
    </row>
    <row r="16" spans="2:26" ht="20.100000000000001" customHeight="1" x14ac:dyDescent="0.25">
      <c r="Z16" s="6"/>
    </row>
    <row r="17" spans="2:30" ht="20.100000000000001" customHeight="1" x14ac:dyDescent="0.25">
      <c r="Z17" s="6"/>
    </row>
    <row r="18" spans="2:30" ht="20.100000000000001" customHeight="1" x14ac:dyDescent="0.25">
      <c r="Z18" s="6"/>
    </row>
    <row r="19" spans="2:30" ht="20.100000000000001" customHeight="1" x14ac:dyDescent="0.25">
      <c r="Z19" s="6"/>
    </row>
    <row r="22" spans="2:30" ht="20.100000000000001" customHeight="1" x14ac:dyDescent="0.25">
      <c r="Y22" s="6"/>
      <c r="Z22" s="6"/>
      <c r="AA22" s="6"/>
    </row>
    <row r="23" spans="2:30" ht="20.100000000000001" customHeight="1" x14ac:dyDescent="0.25">
      <c r="Z23" s="6"/>
      <c r="AA23" s="6"/>
    </row>
    <row r="24" spans="2:30" ht="20.100000000000001" customHeight="1" x14ac:dyDescent="0.25">
      <c r="Z24" s="6"/>
      <c r="AA24" s="6"/>
    </row>
    <row r="25" spans="2:30" ht="20.100000000000001" customHeight="1" x14ac:dyDescent="0.25">
      <c r="Z25" s="6"/>
      <c r="AA25" s="6"/>
    </row>
    <row r="26" spans="2:30" ht="20.100000000000001" customHeight="1" x14ac:dyDescent="0.25">
      <c r="Z26" s="6"/>
      <c r="AA26" s="6"/>
    </row>
    <row r="27" spans="2:30" ht="20.100000000000001" customHeight="1" x14ac:dyDescent="0.25">
      <c r="Z27" s="6"/>
      <c r="AA27" s="6"/>
    </row>
    <row r="28" spans="2:30" ht="20.100000000000001" customHeight="1" x14ac:dyDescent="0.25">
      <c r="Z28" s="6"/>
      <c r="AA28" s="6"/>
    </row>
    <row r="29" spans="2:30" ht="20.100000000000001" customHeight="1" x14ac:dyDescent="0.25">
      <c r="Z29" s="6"/>
      <c r="AA29" s="6"/>
    </row>
    <row r="31" spans="2:30" ht="20.100000000000001" customHeight="1" x14ac:dyDescent="0.25">
      <c r="AB31" s="6"/>
      <c r="AC31" s="6"/>
      <c r="AD31" s="6"/>
    </row>
    <row r="32" spans="2:30" s="10" customFormat="1" ht="20.100000000000001" customHeight="1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</sheetData>
  <conditionalFormatting sqref="Y20:Y22 T5:T19">
    <cfRule type="colorScale" priority="8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2:AA28 Y20:Y21 T4:T19">
    <cfRule type="colorScale" priority="8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2:AA28 Y20:Y21 T5:T19">
    <cfRule type="colorScale" priority="8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3:AA28 Y20:Y21 T5:T19">
    <cfRule type="colorScale" priority="8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8:AA28">
    <cfRule type="colorScale" priority="7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7C8212-EB50-4AF2-A1E5-B66ACAF33E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Geral</vt:lpstr>
      <vt:lpstr>Porcentagem Fabricação</vt:lpstr>
      <vt:lpstr>db_production</vt:lpstr>
      <vt:lpstr>Finalizadas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De Moura Castro Barini</dc:creator>
  <cp:lastModifiedBy>Pablo De Moura Castro Barini</cp:lastModifiedBy>
  <cp:lastPrinted>2026-02-11T12:07:09Z</cp:lastPrinted>
  <dcterms:created xsi:type="dcterms:W3CDTF">2025-01-31T17:01:40Z</dcterms:created>
  <dcterms:modified xsi:type="dcterms:W3CDTF">2026-02-11T13:59:57Z</dcterms:modified>
</cp:coreProperties>
</file>